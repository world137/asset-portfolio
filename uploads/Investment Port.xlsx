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i Stock" sheetId="1" r:id="rId5"/>
    <sheet state="visible" name="Fund" sheetId="2" r:id="rId6"/>
    <sheet state="visible" name="USA Stock" sheetId="3" r:id="rId7"/>
    <sheet state="visible" name="ETF" sheetId="4" r:id="rId8"/>
    <sheet state="visible" name="Crypto" sheetId="5" r:id="rId9"/>
    <sheet state="visible" name="Other" sheetId="6" r:id="rId10"/>
    <sheet state="visible" name="Gold" sheetId="7" r:id="rId11"/>
    <sheet state="visible" name="Profit" sheetId="8" r:id="rId12"/>
    <sheet state="visible" name="Summarize" sheetId="9" r:id="rId13"/>
    <sheet state="visible" name="Daily" sheetId="10" r:id="rId14"/>
  </sheets>
  <definedNames>
    <definedName hidden="1" localSheetId="2" name="Z_7196AE13_D616_4436_B3EB_31E99CD8A865_.wvu.FilterData">'USA Stock'!$A$1:$H$34</definedName>
    <definedName hidden="1" localSheetId="3" name="Z_7196AE13_D616_4436_B3EB_31E99CD8A865_.wvu.FilterData">ETF!$A$1:$H$11</definedName>
  </definedNames>
  <calcPr/>
  <customWorkbookViews>
    <customWorkbookView activeSheetId="0" maximized="1" windowHeight="0" windowWidth="0" guid="{7196AE13-D616-4436-B3EB-31E99CD8A865}" name="Group by Name"/>
  </customWorkbookViews>
</workbook>
</file>

<file path=xl/sharedStrings.xml><?xml version="1.0" encoding="utf-8"?>
<sst xmlns="http://schemas.openxmlformats.org/spreadsheetml/2006/main" count="544" uniqueCount="122">
  <si>
    <t>Name</t>
  </si>
  <si>
    <t>Purchase price</t>
  </si>
  <si>
    <t>Quantity</t>
  </si>
  <si>
    <t>Cost</t>
  </si>
  <si>
    <t>Current Price</t>
  </si>
  <si>
    <t>Current Value</t>
  </si>
  <si>
    <t>Profit</t>
  </si>
  <si>
    <t>Percent</t>
  </si>
  <si>
    <t>Net Cost</t>
  </si>
  <si>
    <t>Net Current Value</t>
  </si>
  <si>
    <t>Net Profit</t>
  </si>
  <si>
    <t>Net Percent</t>
  </si>
  <si>
    <t>SCB</t>
  </si>
  <si>
    <t>KKP</t>
  </si>
  <si>
    <t>Sector</t>
  </si>
  <si>
    <t>Financials</t>
  </si>
  <si>
    <t>ES-GTECH</t>
  </si>
  <si>
    <t>ASP-S&amp;P500-A</t>
  </si>
  <si>
    <t>DAOL-KOREAEQ</t>
  </si>
  <si>
    <t>TEMxCH</t>
  </si>
  <si>
    <t>Technology</t>
  </si>
  <si>
    <t>DAOL-DEFENSE</t>
  </si>
  <si>
    <t>S&amp;P</t>
  </si>
  <si>
    <t>K-GOLD-A(A)</t>
  </si>
  <si>
    <t>Korea</t>
  </si>
  <si>
    <t>ONE-RAREEARTH</t>
  </si>
  <si>
    <t>Asia</t>
  </si>
  <si>
    <t>A-GRID</t>
  </si>
  <si>
    <t>Defense</t>
  </si>
  <si>
    <t>PRINCIPAL GCLOUD-A</t>
  </si>
  <si>
    <t>Gold</t>
  </si>
  <si>
    <t>TLNDQINCOME-UH-X</t>
  </si>
  <si>
    <t>RareEarth</t>
  </si>
  <si>
    <t>SCBSEMI(A)</t>
  </si>
  <si>
    <t>Foundation</t>
  </si>
  <si>
    <t>A-SLVP</t>
  </si>
  <si>
    <t>Silver</t>
  </si>
  <si>
    <t>AAPL</t>
  </si>
  <si>
    <t>AMZN</t>
  </si>
  <si>
    <t>GOOGL</t>
  </si>
  <si>
    <t>Consumer</t>
  </si>
  <si>
    <t>JNJ</t>
  </si>
  <si>
    <t>Health Care</t>
  </si>
  <si>
    <t>JPM</t>
  </si>
  <si>
    <t>MSFT</t>
  </si>
  <si>
    <t>SNDK</t>
  </si>
  <si>
    <t>STX</t>
  </si>
  <si>
    <t>TSM</t>
  </si>
  <si>
    <t>ONDS</t>
  </si>
  <si>
    <t>GEV</t>
  </si>
  <si>
    <t>Energy</t>
  </si>
  <si>
    <t>WMT</t>
  </si>
  <si>
    <t>UNH</t>
  </si>
  <si>
    <t>XBI</t>
  </si>
  <si>
    <t>RKLB</t>
  </si>
  <si>
    <t>Space</t>
  </si>
  <si>
    <t>LITE</t>
  </si>
  <si>
    <t>ASTS</t>
  </si>
  <si>
    <t>RBRK</t>
  </si>
  <si>
    <t>XOM</t>
  </si>
  <si>
    <t>NOK</t>
  </si>
  <si>
    <t>PRME</t>
  </si>
  <si>
    <t>AAOI</t>
  </si>
  <si>
    <t>MRVL</t>
  </si>
  <si>
    <t>QQQM</t>
  </si>
  <si>
    <t>SMH</t>
  </si>
  <si>
    <t>VOO</t>
  </si>
  <si>
    <t>Currency</t>
  </si>
  <si>
    <t>SOL</t>
  </si>
  <si>
    <t>THB</t>
  </si>
  <si>
    <t>BTCTHB</t>
  </si>
  <si>
    <t>ETHTHB</t>
  </si>
  <si>
    <t>From</t>
  </si>
  <si>
    <t>To</t>
  </si>
  <si>
    <t>Chang Rate</t>
  </si>
  <si>
    <t>USD</t>
  </si>
  <si>
    <t>Type</t>
  </si>
  <si>
    <t>Provident Fund</t>
  </si>
  <si>
    <t>Insurance</t>
  </si>
  <si>
    <t>ประกันสะสมทรัพย์</t>
  </si>
  <si>
    <t>Debenture</t>
  </si>
  <si>
    <t>BCP292A</t>
  </si>
  <si>
    <t>BCP26NB</t>
  </si>
  <si>
    <t>CPALL245B</t>
  </si>
  <si>
    <t>GULF298A</t>
  </si>
  <si>
    <t>MTC286A</t>
  </si>
  <si>
    <t>Bond</t>
  </si>
  <si>
    <t>SB348B</t>
  </si>
  <si>
    <t>weight (OZ)</t>
  </si>
  <si>
    <t>gram</t>
  </si>
  <si>
    <t>weight (THB)</t>
  </si>
  <si>
    <t>GOLD</t>
  </si>
  <si>
    <t>Date</t>
  </si>
  <si>
    <t>Sell Price</t>
  </si>
  <si>
    <t>19/03/2026</t>
  </si>
  <si>
    <t>TISCOCH</t>
  </si>
  <si>
    <t>Fund</t>
  </si>
  <si>
    <t>17/03/2026</t>
  </si>
  <si>
    <t>LLY</t>
  </si>
  <si>
    <t>USA Stock</t>
  </si>
  <si>
    <t>SCBNK225</t>
  </si>
  <si>
    <t>XLE</t>
  </si>
  <si>
    <t>SCBS&amp;P500</t>
  </si>
  <si>
    <t>31/03/2027</t>
  </si>
  <si>
    <t>SCBCOMP</t>
  </si>
  <si>
    <t>27/04/2026</t>
  </si>
  <si>
    <t>TSLA</t>
  </si>
  <si>
    <t>XIB</t>
  </si>
  <si>
    <t>QYLD</t>
  </si>
  <si>
    <t>VXUS</t>
  </si>
  <si>
    <t>XYLD</t>
  </si>
  <si>
    <t>V</t>
  </si>
  <si>
    <t>INTC</t>
  </si>
  <si>
    <t>26/05/2026</t>
  </si>
  <si>
    <t>PG</t>
  </si>
  <si>
    <t>POET</t>
  </si>
  <si>
    <t>Thai Stock</t>
  </si>
  <si>
    <t>ETF</t>
  </si>
  <si>
    <t>Crypto</t>
  </si>
  <si>
    <t>SUM</t>
  </si>
  <si>
    <t>Current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</si>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</sst>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d&quot;/&quot;m&quot;/&quot;yy"/>
    <numFmt numFmtId="166" formatCode="mm/dd/yyyy"/>
    <numFmt numFmtId="167" formatCode="M/d/yyyy"/>
    <numFmt numFmtId="168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theme="0"/>
      <name val="Arial"/>
      <scheme val="minor"/>
    </font>
    <font>
      <color rgb="FFFFFFFF"/>
      <name val="Arial"/>
    </font>
    <font>
      <color rgb="FF202124"/>
      <name val="'Roboto Mono'"/>
    </font>
  </fonts>
  <fills count="1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F1C232"/>
        <bgColor rgb="FFF1C232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38761D"/>
        <bgColor rgb="FF38761D"/>
      </patternFill>
    </fill>
    <fill>
      <patternFill patternType="solid">
        <fgColor theme="7"/>
        <bgColor theme="7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F8F9FA"/>
        <bgColor rgb="FFF8F9FA"/>
      </patternFill>
    </fill>
    <fill>
      <patternFill patternType="solid">
        <fgColor rgb="FF0B5394"/>
        <bgColor rgb="FF0B5394"/>
      </patternFill>
    </fill>
    <fill>
      <patternFill patternType="solid">
        <fgColor theme="9"/>
        <bgColor theme="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2" fontId="2" numFmtId="0" xfId="0" applyAlignment="1" applyFill="1" applyFont="1">
      <alignment horizontal="right" readingOrder="0"/>
    </xf>
    <xf borderId="0" fillId="0" fontId="1" numFmtId="0" xfId="0" applyAlignment="1" applyFont="1">
      <alignment horizontal="right"/>
    </xf>
    <xf borderId="0" fillId="3" fontId="2" numFmtId="0" xfId="0" applyAlignment="1" applyFill="1" applyFont="1">
      <alignment horizontal="right" readingOrder="0" shrinkToFit="0" vertical="center" wrapText="0"/>
    </xf>
    <xf borderId="0" fillId="4" fontId="2" numFmtId="0" xfId="0" applyAlignment="1" applyFill="1" applyFont="1">
      <alignment horizontal="right" readingOrder="0" shrinkToFit="0" vertical="center" wrapText="0"/>
    </xf>
    <xf borderId="0" fillId="3" fontId="2" numFmtId="0" xfId="0" applyAlignment="1" applyFont="1">
      <alignment horizontal="right" shrinkToFit="0" vertical="center" wrapText="0"/>
    </xf>
    <xf borderId="0" fillId="5" fontId="2" numFmtId="0" xfId="0" applyAlignment="1" applyFill="1" applyFont="1">
      <alignment horizontal="right" shrinkToFit="0" vertical="center" wrapText="0"/>
    </xf>
    <xf borderId="0" fillId="6" fontId="2" numFmtId="0" xfId="0" applyAlignment="1" applyFill="1" applyFont="1">
      <alignment horizontal="right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right" readingOrder="0" shrinkToFit="0" vertical="center" wrapText="0"/>
    </xf>
    <xf borderId="0" fillId="7" fontId="2" numFmtId="0" xfId="0" applyAlignment="1" applyFill="1" applyFont="1">
      <alignment horizontal="right" readingOrder="0" shrinkToFit="0" vertical="center" wrapText="0"/>
    </xf>
    <xf borderId="0" fillId="8" fontId="2" numFmtId="0" xfId="0" applyAlignment="1" applyFill="1" applyFont="1">
      <alignment shrinkToFit="0" vertical="center" wrapText="0"/>
    </xf>
    <xf borderId="0" fillId="8" fontId="2" numFmtId="0" xfId="0" applyAlignment="1" applyFont="1">
      <alignment horizontal="right" readingOrder="0" shrinkToFit="0" vertical="center" wrapText="0"/>
    </xf>
    <xf borderId="0" fillId="9" fontId="2" numFmtId="0" xfId="0" applyAlignment="1" applyFill="1" applyFont="1">
      <alignment horizontal="right" readingOrder="0" shrinkToFit="0" vertical="center" wrapText="0"/>
    </xf>
    <xf borderId="0" fillId="10" fontId="2" numFmtId="0" xfId="0" applyAlignment="1" applyFill="1" applyFont="1">
      <alignment horizontal="right" readingOrder="0" shrinkToFit="0" vertical="center" wrapText="0"/>
    </xf>
    <xf borderId="0" fillId="0" fontId="2" numFmtId="0" xfId="0" applyFont="1"/>
    <xf borderId="0" fillId="8" fontId="2" numFmtId="0" xfId="0" applyAlignment="1" applyFont="1">
      <alignment horizontal="right" shrinkToFit="0" vertical="center" wrapText="0"/>
    </xf>
    <xf borderId="0" fillId="8" fontId="2" numFmtId="0" xfId="0" applyAlignment="1" applyFont="1">
      <alignment shrinkToFit="0" vertical="center" wrapText="0"/>
    </xf>
    <xf borderId="0" fillId="10" fontId="2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right" readingOrder="0"/>
    </xf>
    <xf borderId="0" fillId="3" fontId="2" numFmtId="0" xfId="0" applyAlignment="1" applyFon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5" fontId="2" numFmtId="0" xfId="0" applyAlignment="1" applyFont="1">
      <alignment shrinkToFit="0" vertical="center" wrapText="0"/>
    </xf>
    <xf borderId="0" fillId="3" fontId="2" numFmtId="0" xfId="0" applyAlignment="1" applyFont="1">
      <alignment horizontal="right" readingOrder="0" shrinkToFit="0" vertical="center" wrapText="0"/>
    </xf>
    <xf borderId="0" fillId="8" fontId="2" numFmtId="0" xfId="0" applyAlignment="1" applyFont="1">
      <alignment horizontal="right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3" fontId="2" numFmtId="49" xfId="0" applyAlignment="1" applyFont="1" applyNumberFormat="1">
      <alignment readingOrder="0" shrinkToFit="0" vertical="center" wrapText="0"/>
    </xf>
    <xf borderId="0" fillId="3" fontId="2" numFmtId="4" xfId="0" applyAlignment="1" applyFont="1" applyNumberFormat="1">
      <alignment readingOrder="0" shrinkToFit="0" vertical="center" wrapText="0"/>
    </xf>
    <xf borderId="0" fillId="3" fontId="2" numFmtId="4" xfId="0" applyAlignment="1" applyFont="1" applyNumberFormat="1">
      <alignment horizontal="right" readingOrder="0" shrinkToFit="0" vertical="center" wrapText="0"/>
    </xf>
    <xf borderId="0" fillId="7" fontId="2" numFmtId="0" xfId="0" applyAlignment="1" applyFont="1">
      <alignment horizontal="right" readingOrder="0"/>
    </xf>
    <xf borderId="0" fillId="8" fontId="2" numFmtId="0" xfId="0" applyFont="1"/>
    <xf borderId="0" fillId="8" fontId="2" numFmtId="0" xfId="0" applyAlignment="1" applyFont="1">
      <alignment horizontal="right" readingOrder="0"/>
    </xf>
    <xf borderId="0" fillId="0" fontId="1" numFmtId="49" xfId="0" applyAlignment="1" applyFont="1" applyNumberFormat="1">
      <alignment horizontal="right"/>
    </xf>
    <xf borderId="0" fillId="11" fontId="2" numFmtId="0" xfId="0" applyAlignment="1" applyFill="1" applyFont="1">
      <alignment horizontal="right" readingOrder="0"/>
    </xf>
    <xf borderId="0" fillId="12" fontId="2" numFmtId="0" xfId="0" applyAlignment="1" applyFill="1" applyFont="1">
      <alignment horizontal="right" readingOrder="0"/>
    </xf>
    <xf borderId="0" fillId="12" fontId="2" numFmtId="0" xfId="0" applyAlignment="1" applyFont="1">
      <alignment horizontal="right"/>
    </xf>
    <xf borderId="0" fillId="3" fontId="2" numFmtId="164" xfId="0" applyAlignment="1" applyFont="1" applyNumberFormat="1">
      <alignment readingOrder="0" shrinkToFit="0" vertical="center" wrapText="0"/>
    </xf>
    <xf borderId="0" fillId="4" fontId="2" numFmtId="164" xfId="0" applyAlignment="1" applyFont="1" applyNumberFormat="1">
      <alignment readingOrder="0" shrinkToFit="0" vertical="center" wrapText="0"/>
    </xf>
    <xf borderId="0" fillId="5" fontId="2" numFmtId="164" xfId="0" applyAlignment="1" applyFont="1" applyNumberFormat="1">
      <alignment shrinkToFit="0" vertical="center" wrapText="0"/>
    </xf>
    <xf borderId="0" fillId="13" fontId="2" numFmtId="49" xfId="0" applyAlignment="1" applyFill="1" applyFont="1" applyNumberFormat="1">
      <alignment horizontal="left" readingOrder="0" shrinkToFit="0" vertical="center" wrapText="0"/>
    </xf>
    <xf borderId="0" fillId="13" fontId="2" numFmtId="0" xfId="0" applyAlignment="1" applyFont="1">
      <alignment horizontal="left" readingOrder="0" shrinkToFit="0" vertical="center" wrapText="0"/>
    </xf>
    <xf borderId="0" fillId="14" fontId="2" numFmtId="49" xfId="0" applyAlignment="1" applyFill="1" applyFont="1" applyNumberFormat="1">
      <alignment horizontal="left" readingOrder="0" shrinkToFit="0" vertical="center" wrapText="0"/>
    </xf>
    <xf borderId="0" fillId="14" fontId="2" numFmtId="0" xfId="0" applyAlignment="1" applyFont="1">
      <alignment horizontal="left" readingOrder="0" shrinkToFit="0" vertical="center" wrapText="0"/>
    </xf>
    <xf borderId="0" fillId="13" fontId="2" numFmtId="0" xfId="0" applyAlignment="1" applyFont="1">
      <alignment readingOrder="0" shrinkToFit="0" vertical="center" wrapText="0"/>
    </xf>
    <xf borderId="0" fillId="13" fontId="2" numFmtId="0" xfId="0" applyAlignment="1" applyFont="1">
      <alignment shrinkToFit="0" vertical="center" wrapText="0"/>
    </xf>
    <xf borderId="0" fillId="14" fontId="2" numFmtId="0" xfId="0" applyAlignment="1" applyFont="1">
      <alignment readingOrder="0"/>
    </xf>
    <xf borderId="0" fillId="6" fontId="2" numFmtId="49" xfId="0" applyAlignment="1" applyFont="1" applyNumberFormat="1">
      <alignment horizontal="right"/>
    </xf>
    <xf borderId="0" fillId="0" fontId="1" numFmtId="165" xfId="0" applyFont="1" applyNumberFormat="1"/>
    <xf borderId="0" fillId="14" fontId="2" numFmtId="0" xfId="0" applyAlignment="1" applyFont="1">
      <alignment horizontal="left" readingOrder="0"/>
    </xf>
    <xf borderId="0" fillId="14" fontId="2" numFmtId="166" xfId="0" applyAlignment="1" applyFont="1" applyNumberFormat="1">
      <alignment horizontal="left" readingOrder="0"/>
    </xf>
    <xf borderId="0" fillId="2" fontId="3" numFmtId="0" xfId="0" applyAlignment="1" applyFont="1">
      <alignment horizontal="right" readingOrder="0"/>
    </xf>
    <xf borderId="0" fillId="3" fontId="2" numFmtId="0" xfId="0" applyAlignment="1" applyFont="1">
      <alignment horizontal="right" readingOrder="0"/>
    </xf>
    <xf borderId="0" fillId="3" fontId="4" numFmtId="0" xfId="0" applyAlignment="1" applyFont="1">
      <alignment horizontal="right" vertical="bottom"/>
    </xf>
    <xf borderId="0" fillId="3" fontId="4" numFmtId="0" xfId="0" applyAlignment="1" applyFont="1">
      <alignment horizontal="right" vertical="bottom"/>
    </xf>
    <xf borderId="0" fillId="15" fontId="5" numFmtId="0" xfId="0" applyAlignment="1" applyFill="1" applyFont="1">
      <alignment readingOrder="0"/>
    </xf>
    <xf borderId="0" fillId="3" fontId="4" numFmtId="0" xfId="0" applyAlignment="1" applyFont="1">
      <alignment horizontal="right" readingOrder="0" vertical="bottom"/>
    </xf>
    <xf borderId="0" fillId="0" fontId="1" numFmtId="0" xfId="0" applyFont="1"/>
    <xf borderId="0" fillId="16" fontId="2" numFmtId="0" xfId="0" applyAlignment="1" applyFill="1" applyFont="1">
      <alignment horizontal="right" readingOrder="0" shrinkToFit="0" vertical="center" wrapText="0"/>
    </xf>
    <xf borderId="0" fillId="17" fontId="2" numFmtId="0" xfId="0" applyAlignment="1" applyFill="1" applyFont="1">
      <alignment horizontal="right" readingOrder="0" shrinkToFit="0" vertical="center" wrapText="0"/>
    </xf>
    <xf borderId="0" fillId="0" fontId="1" numFmtId="167" xfId="0" applyAlignment="1" applyFont="1" applyNumberForma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1" fillId="3" fontId="2" numFmtId="168" xfId="0" applyAlignment="1" applyBorder="1" applyFont="1" applyNumberFormat="1">
      <alignment readingOrder="0" shrinkToFit="0" vertical="center" wrapText="0"/>
    </xf>
    <xf borderId="1" fillId="3" fontId="2" numFmtId="4" xfId="0" applyAlignment="1" applyBorder="1" applyFont="1" applyNumberFormat="1">
      <alignment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0" fillId="0" fontId="1" numFmtId="167" xfId="0" applyFont="1" applyNumberFormat="1"/>
    <xf borderId="0" fillId="0" fontId="1" numFmtId="4" xfId="0" applyFont="1" applyNumberForma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6B94FF"/>
          <bgColor rgb="FF6B94F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0C5394"/>
          <bgColor rgb="FF0C5394"/>
        </patternFill>
      </fill>
      <border/>
    </dxf>
    <dxf>
      <font/>
      <fill>
        <patternFill patternType="solid">
          <fgColor rgb="FF93B1FF"/>
          <bgColor rgb="FF93B1FF"/>
        </patternFill>
      </fill>
      <border/>
    </dxf>
  </dxfs>
  <tableStyles count="26">
    <tableStyle count="4" pivot="0" name="Thai Stoc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ai Stock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hai Stock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Fu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und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und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USA Stoc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A Stock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USA Stock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ET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TF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ETF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ryp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th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ol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ol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fit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Profit-style 2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2" pivot="0" name="Profit-style 3">
      <tableStyleElement dxfId="2" type="firstRowStripe"/>
      <tableStyleElement dxfId="3" type="secondRowStripe"/>
    </tableStyle>
    <tableStyle count="4" pivot="0" name="Summariz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ize-style 6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Daily-style">
      <tableStyleElement dxfId="10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'Thai Stock'!$K$5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'Thai Stock'!$J$6:$J$7</c:f>
            </c:strRef>
          </c:cat>
          <c:val>
            <c:numRef>
              <c:f>'Thai Stock'!$K$6:$K$7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Value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'Thai Stock'!$L$5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'Thai Stock'!$J$6:$J$7</c:f>
            </c:strRef>
          </c:cat>
          <c:val>
            <c:numRef>
              <c:f>'Thai Stock'!$L$6:$L$7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Fund!$K$5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Fund!$J$6:$J$16</c:f>
            </c:strRef>
          </c:cat>
          <c:val>
            <c:numRef>
              <c:f>Fund!$K$6:$K$16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Value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Fund!$L$5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Fund!$J$6:$J$16</c:f>
            </c:strRef>
          </c:cat>
          <c:val>
            <c:numRef>
              <c:f>Fund!$L$6:$L$16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Sector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Fund!$K$21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Fund!$J$22:$J$30</c:f>
            </c:strRef>
          </c:cat>
          <c:val>
            <c:numRef>
              <c:f>Fund!$K$22:$K$30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'USA Stock'!$K$5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'USA Stock'!$J$6:$J$27</c:f>
            </c:strRef>
          </c:cat>
          <c:val>
            <c:numRef>
              <c:f>'USA Stock'!$K$6:$K$27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Value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'USA Stock'!$L$5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'USA Stock'!$J$6:$J$27</c:f>
            </c:strRef>
          </c:cat>
          <c:val>
            <c:numRef>
              <c:f>'USA Stock'!$L$6:$L$27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Sector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'USA Stock'!$K$36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'USA Stock'!$J$37:$J$43</c:f>
            </c:strRef>
          </c:cat>
          <c:val>
            <c:numRef>
              <c:f>'USA Stock'!$K$37:$K$43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ETF!$K$5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ETF!$J$6:$J$8</c:f>
            </c:strRef>
          </c:cat>
          <c:val>
            <c:numRef>
              <c:f>ETF!$K$6:$K$8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Value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ETF!$L$5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ETF!$J$6:$J$8</c:f>
            </c:strRef>
          </c:cat>
          <c:val>
            <c:numRef>
              <c:f>ETF!$L$6:$L$8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Sector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ETF!$K$12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ETF!$J$13:$J$14</c:f>
            </c:strRef>
          </c:cat>
          <c:val>
            <c:numRef>
              <c:f>ETF!$K$13:$K$14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Crypto!$L$5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Crypto!$K$6:$K$8</c:f>
            </c:strRef>
          </c:cat>
          <c:val>
            <c:numRef>
              <c:f>Crypto!$L$6:$L$8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Value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Crypto!$M$5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Crypto!$K$6:$K$8</c:f>
            </c:strRef>
          </c:cat>
          <c:val>
            <c:numRef>
              <c:f>Crypto!$M$6:$M$8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Other!$L$7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Other!$K$8:$K$11</c:f>
            </c:strRef>
          </c:cat>
          <c:val>
            <c:numRef>
              <c:f>Other!$L$8:$L$11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Gold!$K$5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Gold!$J$6</c:f>
            </c:strRef>
          </c:cat>
          <c:val>
            <c:numRef>
              <c:f>Gold!$K$6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Value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Gold!$L$5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Gold!$J$6</c:f>
            </c:strRef>
          </c:cat>
          <c:val>
            <c:numRef>
              <c:f>Gold!$L$6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Cost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Summarize!$B$14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Summarize!$A$15:$A$24</c:f>
            </c:strRef>
          </c:cat>
          <c:val>
            <c:numRef>
              <c:f>Summarize!$B$15:$B$24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Current Value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Summarize!$C$14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Summarize!$A$15:$A$24</c:f>
            </c:strRef>
          </c:cat>
          <c:val>
            <c:numRef>
              <c:f>Summarize!$C$15:$C$24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Summarize!$B$59</c:f>
            </c:strRef>
          </c:tx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Summarize!$A$60:$A$73</c:f>
            </c:strRef>
          </c:cat>
          <c:val>
            <c:numRef>
              <c:f>Summarize!$B$60:$B$73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vs. Sector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Summarize!$C$59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Summarize!$A$60:$A$73</c:f>
            </c:strRef>
          </c:cat>
          <c:val>
            <c:numRef>
              <c:f>Summarize!$C$60:$C$73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Daily!$B$1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Daily!$A$2:$A$100</c:f>
            </c:strRef>
          </c:cat>
          <c:val>
            <c:numRef>
              <c:f>Daily!$B$2:$B$100</c:f>
              <c:numCache/>
            </c:numRef>
          </c:val>
          <c:smooth val="1"/>
        </c:ser>
        <c:axId val="505660296"/>
        <c:axId val="1908038085"/>
      </c:lineChart>
      <c:catAx>
        <c:axId val="505660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8038085"/>
      </c:catAx>
      <c:valAx>
        <c:axId val="1908038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56602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561975</xdr:colOff>
      <xdr:row>1</xdr:row>
      <xdr:rowOff>209550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561975</xdr:colOff>
      <xdr:row>16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952500</xdr:colOff>
      <xdr:row>1</xdr:row>
      <xdr:rowOff>247650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952500</xdr:colOff>
      <xdr:row>16</xdr:row>
      <xdr:rowOff>76200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952500</xdr:colOff>
      <xdr:row>29</xdr:row>
      <xdr:rowOff>285750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762000</xdr:colOff>
      <xdr:row>0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762000</xdr:colOff>
      <xdr:row>15</xdr:row>
      <xdr:rowOff>9525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762000</xdr:colOff>
      <xdr:row>28</xdr:row>
      <xdr:rowOff>228600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76200</xdr:colOff>
      <xdr:row>0</xdr:row>
      <xdr:rowOff>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76200</xdr:colOff>
      <xdr:row>14</xdr:row>
      <xdr:rowOff>28575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76200</xdr:colOff>
      <xdr:row>33</xdr:row>
      <xdr:rowOff>200025</xdr:rowOff>
    </xdr:from>
    <xdr:ext cx="5362575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847725</xdr:colOff>
      <xdr:row>1</xdr:row>
      <xdr:rowOff>200025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847725</xdr:colOff>
      <xdr:row>18</xdr:row>
      <xdr:rowOff>123825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933450</xdr:colOff>
      <xdr:row>11</xdr:row>
      <xdr:rowOff>180975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7</xdr:row>
      <xdr:rowOff>38100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9525</xdr:colOff>
      <xdr:row>24</xdr:row>
      <xdr:rowOff>95250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400050</xdr:colOff>
      <xdr:row>4</xdr:row>
      <xdr:rowOff>104775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400050</xdr:colOff>
      <xdr:row>23</xdr:row>
      <xdr:rowOff>9525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962025</xdr:colOff>
      <xdr:row>57</xdr:row>
      <xdr:rowOff>171450</xdr:rowOff>
    </xdr:from>
    <xdr:ext cx="5715000" cy="3533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266700</xdr:colOff>
      <xdr:row>57</xdr:row>
      <xdr:rowOff>171450</xdr:rowOff>
    </xdr:from>
    <xdr:ext cx="5715000" cy="35337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1</xdr:row>
      <xdr:rowOff>266700</xdr:rowOff>
    </xdr:from>
    <xdr:ext cx="7658100" cy="42195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" displayName="THAI_STOCK_INVESTMENT" name="THAI_STOCK_INVESTMENT" id="1">
  <tableColumns count="8">
    <tableColumn name="Name" id="1"/>
    <tableColumn name="Purchase price" id="2"/>
    <tableColumn name="Quantity" id="3"/>
    <tableColumn name="Cost" id="4"/>
    <tableColumn name="Current Price" id="5"/>
    <tableColumn name="Current Value" id="6"/>
    <tableColumn name="Profit" id="7"/>
    <tableColumn name="Percent" id="8"/>
  </tableColumns>
  <tableStyleInfo name="Thai Stock-style" showColumnStripes="0" showFirstColumn="1" showLastColumn="1" showRowStripes="1"/>
</table>
</file>

<file path=xl/tables/table2.xml><?xml version="1.0" encoding="utf-8"?>
<table xmlns="http://schemas.openxmlformats.org/spreadsheetml/2006/main" ref="J5:N7" displayName="THAI_STOCK_SUMMARIZE" name="THAI_STOCK_SUMMARIZE" id="2">
  <tableColumns count="5">
    <tableColumn name="Name" id="1"/>
    <tableColumn name="Cost" id="2"/>
    <tableColumn name="Current Value" id="3"/>
    <tableColumn name="Sector" id="4"/>
    <tableColumn name="Percent" id="5"/>
  </tableColumns>
  <tableStyleInfo name="Thai Stock-style 2" showColumnStripes="0" showFirstColumn="1" showLastColumn="1" showRowStripes="1"/>
</table>
</file>

<file path=xl/tables/table3.xml><?xml version="1.0" encoding="utf-8"?>
<table xmlns="http://schemas.openxmlformats.org/spreadsheetml/2006/main" ref="J10:M11" displayName="THAI_STOCK_SECTOR" name="THAI_STOCK_SECTOR" id="3">
  <tableColumns count="4">
    <tableColumn name="Sector" id="1"/>
    <tableColumn name="Cost" id="2"/>
    <tableColumn name="Profit" id="3"/>
    <tableColumn name="Percent" id="4"/>
  </tableColumns>
  <tableStyleInfo name="Thai Stock-style 3" showColumnStripes="0" showFirstColumn="1" showLastColumn="1" showRowStripes="1"/>
</table>
</file>

<file path=xl/tables/table4.xml><?xml version="1.0" encoding="utf-8"?>
<table xmlns="http://schemas.openxmlformats.org/spreadsheetml/2006/main" ref="A1:H16" displayName="FUND_INVESTMENT" name="FUND_INVESTMENT" id="4">
  <tableColumns count="8">
    <tableColumn name="Name" id="1"/>
    <tableColumn name="Purchase price" id="2"/>
    <tableColumn name="Quantity" id="3"/>
    <tableColumn name="Cost" id="4"/>
    <tableColumn name="Current Price" id="5"/>
    <tableColumn name="Current Value" id="6"/>
    <tableColumn name="Profit" id="7"/>
    <tableColumn name="Percent" id="8"/>
  </tableColumns>
  <tableStyleInfo name="Fund-style" showColumnStripes="0" showFirstColumn="1" showLastColumn="1" showRowStripes="1"/>
</table>
</file>

<file path=xl/tables/table5.xml><?xml version="1.0" encoding="utf-8"?>
<table xmlns="http://schemas.openxmlformats.org/spreadsheetml/2006/main" ref="J5:N16" displayName="FUND_SUMMARIZE" name="FUND_SUMMARIZE" id="5">
  <tableColumns count="5">
    <tableColumn name="Name" id="1"/>
    <tableColumn name="Cost" id="2"/>
    <tableColumn name="Current Value" id="3"/>
    <tableColumn name="Sector" id="4"/>
    <tableColumn name="Percent" id="5"/>
  </tableColumns>
  <tableStyleInfo name="Fund-style 2" showColumnStripes="0" showFirstColumn="1" showLastColumn="1" showRowStripes="1"/>
</table>
</file>

<file path=xl/tables/table6.xml><?xml version="1.0" encoding="utf-8"?>
<table xmlns="http://schemas.openxmlformats.org/spreadsheetml/2006/main" ref="J21:M30" displayName="FUND_SECTOR" name="FUND_SECTOR" id="6">
  <tableColumns count="4">
    <tableColumn name="Sector" id="1"/>
    <tableColumn name="Cost" id="2"/>
    <tableColumn name="Profit" id="3"/>
    <tableColumn name="Percent" id="4"/>
  </tableColumns>
  <tableStyleInfo name="Fund-style 3" showColumnStripes="0" showFirstColumn="1" showLastColumn="1" showRowStripes="1"/>
</table>
</file>

<file path=xl/tables/table7.xml><?xml version="1.0" encoding="utf-8"?>
<table xmlns="http://schemas.openxmlformats.org/spreadsheetml/2006/main" ref="A1:H34" displayName="USA_STOCK_INVESTMENT" name="USA_STOCK_INVESTMENT" id="7">
  <tableColumns count="8">
    <tableColumn name="Name" id="1"/>
    <tableColumn name="Purchase price" id="2"/>
    <tableColumn name="Quantity" id="3"/>
    <tableColumn name="Cost" id="4"/>
    <tableColumn name="Current Price" id="5"/>
    <tableColumn name="Current Value" id="6"/>
    <tableColumn name="Profit" id="7"/>
    <tableColumn name="Percent" id="8"/>
  </tableColumns>
  <tableStyleInfo name="USA Stock-style" showColumnStripes="0" showFirstColumn="1" showLastColumn="1" showRowStripes="1"/>
</table>
</file>

<file path=xl/tables/table8.xml><?xml version="1.0" encoding="utf-8"?>
<table xmlns="http://schemas.openxmlformats.org/spreadsheetml/2006/main" ref="J5:N27" displayName="USA_STOCK_SUMMARIZE" name="USA_STOCK_SUMMARIZE" id="8">
  <tableColumns count="5">
    <tableColumn name="Name" id="1"/>
    <tableColumn name="Cost" id="2"/>
    <tableColumn name="Current Value" id="3"/>
    <tableColumn name="Sector" id="4"/>
    <tableColumn name="Percent" id="5"/>
  </tableColumns>
  <tableStyleInfo name="USA Stock-style 2" showColumnStripes="0" showFirstColumn="1" showLastColumn="1" showRowStripes="1"/>
</table>
</file>

<file path=xl/tables/table9.xml><?xml version="1.0" encoding="utf-8"?>
<table xmlns="http://schemas.openxmlformats.org/spreadsheetml/2006/main" ref="J36:M43" displayName="USA_STOCK_SECTOR" name="USA_STOCK_SECTOR" id="9">
  <tableColumns count="4">
    <tableColumn name="Sector" id="1"/>
    <tableColumn name="Cost" id="2"/>
    <tableColumn name="Profit" id="3"/>
    <tableColumn name="Percent" id="4"/>
  </tableColumns>
  <tableStyleInfo name="USA Stock-style 3" showColumnStripes="0" showFirstColumn="1" showLastColumn="1" showRowStripes="1"/>
</table>
</file>

<file path=xl/tables/table10.xml><?xml version="1.0" encoding="utf-8"?>
<table xmlns="http://schemas.openxmlformats.org/spreadsheetml/2006/main" ref="A1:H11" displayName="ETF_INVESTMENT_" name="ETF_INVESTMENT_" id="10">
  <tableColumns count="8">
    <tableColumn name="Name" id="1"/>
    <tableColumn name="Purchase price" id="2"/>
    <tableColumn name="Quantity" id="3"/>
    <tableColumn name="Cost" id="4"/>
    <tableColumn name="Current Price" id="5"/>
    <tableColumn name="Current Value" id="6"/>
    <tableColumn name="Profit" id="7"/>
    <tableColumn name="Percent" id="8"/>
  </tableColumns>
  <tableStyleInfo name="ETF-style" showColumnStripes="0" showFirstColumn="1" showLastColumn="1" showRowStripes="1"/>
</table>
</file>

<file path=xl/tables/table11.xml><?xml version="1.0" encoding="utf-8"?>
<table xmlns="http://schemas.openxmlformats.org/spreadsheetml/2006/main" ref="J5:N8" displayName="ETF_SUMMARIZE" name="ETF_SUMMARIZE" id="11">
  <tableColumns count="5">
    <tableColumn name="Name" id="1"/>
    <tableColumn name="Cost" id="2"/>
    <tableColumn name="Current Value" id="3"/>
    <tableColumn name="Sector" id="4"/>
    <tableColumn name="Percent" id="5"/>
  </tableColumns>
  <tableStyleInfo name="ETF-style 2" showColumnStripes="0" showFirstColumn="1" showLastColumn="1" showRowStripes="1"/>
</table>
</file>

<file path=xl/tables/table12.xml><?xml version="1.0" encoding="utf-8"?>
<table xmlns="http://schemas.openxmlformats.org/spreadsheetml/2006/main" ref="J12:M14" displayName="ETF_SECTOR" name="ETF_SECTOR" id="12">
  <tableColumns count="4">
    <tableColumn name="Sector" id="1"/>
    <tableColumn name="Cost" id="2"/>
    <tableColumn name="Profit" id="3"/>
    <tableColumn name="Percent" id="4"/>
  </tableColumns>
  <tableStyleInfo name="ETF-style 3" showColumnStripes="0" showFirstColumn="1" showLastColumn="1" showRowStripes="1"/>
</table>
</file>

<file path=xl/tables/table13.xml><?xml version="1.0" encoding="utf-8"?>
<table xmlns="http://schemas.openxmlformats.org/spreadsheetml/2006/main" ref="A1:I7" displayName="Table2" name="Table2" id="13">
  <tableColumns count="9">
    <tableColumn name="Name" id="1"/>
    <tableColumn name="Currency" id="2"/>
    <tableColumn name="Purchase price" id="3"/>
    <tableColumn name="Quantity" id="4"/>
    <tableColumn name="Cost" id="5"/>
    <tableColumn name="Current Price" id="6"/>
    <tableColumn name="Current Value" id="7"/>
    <tableColumn name="Profit" id="8"/>
    <tableColumn name="Percent" id="9"/>
  </tableColumns>
  <tableStyleInfo name="Crypto-style" showColumnStripes="0" showFirstColumn="1" showLastColumn="1" showRowStripes="1"/>
</table>
</file>

<file path=xl/tables/table14.xml><?xml version="1.0" encoding="utf-8"?>
<table xmlns="http://schemas.openxmlformats.org/spreadsheetml/2006/main" ref="A1:I9" displayName="Table3" name="Table3" id="14">
  <tableColumns count="9">
    <tableColumn name="Type" id="1"/>
    <tableColumn name="Name" id="2"/>
    <tableColumn name="Purchase price" id="3"/>
    <tableColumn name="Quantity" id="4"/>
    <tableColumn name="Cost" id="5"/>
    <tableColumn name="Current Price" id="6"/>
    <tableColumn name="Current Value" id="7"/>
    <tableColumn name="Profit" id="8"/>
    <tableColumn name="Percent" id="9"/>
  </tableColumns>
  <tableStyleInfo name="Other-style" showColumnStripes="0" showFirstColumn="1" showLastColumn="1" showRowStripes="1"/>
</table>
</file>

<file path=xl/tables/table15.xml><?xml version="1.0" encoding="utf-8"?>
<table xmlns="http://schemas.openxmlformats.org/spreadsheetml/2006/main" ref="A1:H9" displayName="GOLD_USD_OZ" name="GOLD_USD_OZ" id="15">
  <tableColumns count="8">
    <tableColumn name="Name" id="1"/>
    <tableColumn name="Purchase price" id="2"/>
    <tableColumn name="Quantity" id="3"/>
    <tableColumn name="Cost" id="4"/>
    <tableColumn name="Current Price" id="5"/>
    <tableColumn name="Current Value" id="6"/>
    <tableColumn name="Profit" id="7"/>
    <tableColumn name="Percent" id="8"/>
  </tableColumns>
  <tableStyleInfo name="Gold-style" showColumnStripes="0" showFirstColumn="1" showLastColumn="1" showRowStripes="1"/>
</table>
</file>

<file path=xl/tables/table16.xml><?xml version="1.0" encoding="utf-8"?>
<table xmlns="http://schemas.openxmlformats.org/spreadsheetml/2006/main" ref="Q1:X3" displayName="GOLD_THB_GRAM" name="GOLD_THB_GRAM" id="16">
  <tableColumns count="8">
    <tableColumn name="Name" id="1"/>
    <tableColumn name="Purchase price" id="2"/>
    <tableColumn name="Quantity" id="3"/>
    <tableColumn name="Cost" id="4"/>
    <tableColumn name="Current Price" id="5"/>
    <tableColumn name="Current Value" id="6"/>
    <tableColumn name="Profit" id="7"/>
    <tableColumn name="Percent" id="8"/>
  </tableColumns>
  <tableStyleInfo name="Gold-style 2" showColumnStripes="0" showFirstColumn="1" showLastColumn="1" showRowStripes="1"/>
</table>
</file>

<file path=xl/tables/table17.xml><?xml version="1.0" encoding="utf-8"?>
<table xmlns="http://schemas.openxmlformats.org/spreadsheetml/2006/main" ref="A1:G5" displayName="THB_Profit" name="THB_Profit" id="17">
  <tableColumns count="7">
    <tableColumn name="Date" id="1"/>
    <tableColumn name="Name" id="2"/>
    <tableColumn name="Type" id="3"/>
    <tableColumn name="Cost" id="4"/>
    <tableColumn name="Sell Price" id="5"/>
    <tableColumn name="Profit" id="6"/>
    <tableColumn name="Percent" id="7"/>
  </tableColumns>
  <tableStyleInfo name="Profit-style" showColumnStripes="0" showFirstColumn="1" showLastColumn="1" showRowStripes="1"/>
</table>
</file>

<file path=xl/tables/table18.xml><?xml version="1.0" encoding="utf-8"?>
<table xmlns="http://schemas.openxmlformats.org/spreadsheetml/2006/main" headerRowCount="0" ref="I1:O1" displayName="USD_Profit" name="USD_Profit" id="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rofi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I2:O2" displayName="Table_1" name="Table_1" id="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rofit-style 3" showColumnStripes="0" showFirstColumn="1" showLastColumn="1" showRowStripes="1"/>
</table>
</file>

<file path=xl/tables/table20.xml><?xml version="1.0" encoding="utf-8"?>
<table xmlns="http://schemas.openxmlformats.org/spreadsheetml/2006/main" ref="A45:D46" displayName="THAI" name="THAI" id="20">
  <tableColumns count="4">
    <tableColumn name="Sector" id="1"/>
    <tableColumn name="Cost" id="2"/>
    <tableColumn name="Current" id="3"/>
    <tableColumn name="Percent" id="4"/>
  </tableColumns>
  <tableStyleInfo name="Summarize-style" showColumnStripes="0" showFirstColumn="1" showLastColumn="1" showRowStripes="1"/>
</table>
</file>

<file path=xl/tables/table21.xml><?xml version="1.0" encoding="utf-8"?>
<table xmlns="http://schemas.openxmlformats.org/spreadsheetml/2006/main" ref="F45:I52" displayName="USA" name="USA" id="21">
  <tableColumns count="4">
    <tableColumn name="Sector" id="1"/>
    <tableColumn name="Cost" id="2"/>
    <tableColumn name="Current" id="3"/>
    <tableColumn name="Percent" id="4"/>
  </tableColumns>
  <tableStyleInfo name="Summarize-style 2" showColumnStripes="0" showFirstColumn="1" showLastColumn="1" showRowStripes="1"/>
</table>
</file>

<file path=xl/tables/table22.xml><?xml version="1.0" encoding="utf-8"?>
<table xmlns="http://schemas.openxmlformats.org/spreadsheetml/2006/main" ref="K45:N47" displayName="ETF" name="ETF" id="22">
  <tableColumns count="4">
    <tableColumn name="Sector" id="1"/>
    <tableColumn name="Cost" id="2"/>
    <tableColumn name="Current" id="3"/>
    <tableColumn name="Percent" id="4"/>
  </tableColumns>
  <tableStyleInfo name="Summarize-style 3" showColumnStripes="0" showFirstColumn="1" showLastColumn="1" showRowStripes="1"/>
</table>
</file>

<file path=xl/tables/table23.xml><?xml version="1.0" encoding="utf-8"?>
<table xmlns="http://schemas.openxmlformats.org/spreadsheetml/2006/main" ref="P45:S54" displayName="FUND" name="FUND" id="23">
  <tableColumns count="4">
    <tableColumn name="Sector" id="1"/>
    <tableColumn name="Cost" id="2"/>
    <tableColumn name="Current" id="3"/>
    <tableColumn name="Percent" id="4"/>
  </tableColumns>
  <tableStyleInfo name="Summarize-style 4" showColumnStripes="0" showFirstColumn="1" showLastColumn="1" showRowStripes="1"/>
</table>
</file>

<file path=xl/tables/table24.xml><?xml version="1.0" encoding="utf-8"?>
<table xmlns="http://schemas.openxmlformats.org/spreadsheetml/2006/main" ref="U45:X47" displayName="Other" name="Other" id="24">
  <tableColumns count="4">
    <tableColumn name="Sector" id="1"/>
    <tableColumn name="Cost" id="2"/>
    <tableColumn name="Current" id="3"/>
    <tableColumn name="Percent" id="4"/>
  </tableColumns>
  <tableStyleInfo name="Summarize-style 5" showColumnStripes="0" showFirstColumn="1" showLastColumn="1" showRowStripes="1"/>
</table>
</file>

<file path=xl/tables/table25.xml><?xml version="1.0" encoding="utf-8"?>
<table xmlns="http://schemas.openxmlformats.org/spreadsheetml/2006/main" ref="A59:D73" displayName="Summarize" name="Summarize" id="25">
  <tableColumns count="4">
    <tableColumn name="Sector" id="1"/>
    <tableColumn name="Cost" id="2"/>
    <tableColumn name="Current" id="3"/>
    <tableColumn name="Percent" id="4"/>
  </tableColumns>
  <tableStyleInfo name="Summarize-style 6" showColumnStripes="0" showFirstColumn="1" showLastColumn="1" showRowStripes="1"/>
</table>
</file>

<file path=xl/tables/table26.xml><?xml version="1.0" encoding="utf-8"?>
<table xmlns="http://schemas.openxmlformats.org/spreadsheetml/2006/main" ref="A1:B100" displayName="Daily" name="Daily" id="26">
  <tableColumns count="2">
    <tableColumn name="Date" id="1"/>
    <tableColumn name="Value" id="2"/>
  </tableColumns>
  <tableStyleInfo name="Dail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0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17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11" Type="http://schemas.openxmlformats.org/officeDocument/2006/relationships/table" Target="../tables/table23.xml"/><Relationship Id="rId10" Type="http://schemas.openxmlformats.org/officeDocument/2006/relationships/table" Target="../tables/table22.xml"/><Relationship Id="rId13" Type="http://schemas.openxmlformats.org/officeDocument/2006/relationships/table" Target="../tables/table25.xml"/><Relationship Id="rId12" Type="http://schemas.openxmlformats.org/officeDocument/2006/relationships/table" Target="../tables/table24.xml"/><Relationship Id="rId9" Type="http://schemas.openxmlformats.org/officeDocument/2006/relationships/table" Target="../tables/table21.xml"/><Relationship Id="rId8" Type="http://schemas.openxmlformats.org/officeDocument/2006/relationships/table" Target="../tables/table2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5"/>
    <col customWidth="1" min="3" max="4" width="21.0"/>
    <col customWidth="1" min="5" max="6" width="19.0"/>
    <col customWidth="1" min="10" max="10" width="14.13"/>
    <col customWidth="1" min="11" max="11" width="17.38"/>
    <col customWidth="1" min="12" max="12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22.5" customHeight="1">
      <c r="A2" s="4" t="s">
        <v>12</v>
      </c>
      <c r="B2" s="4">
        <v>98.5</v>
      </c>
      <c r="C2" s="4">
        <v>100.0</v>
      </c>
      <c r="D2" s="5">
        <f t="shared" ref="D2:D4" si="2">B2*C2</f>
        <v>9850</v>
      </c>
      <c r="E2" s="6">
        <f t="shared" ref="E2:E4" si="3">THAISTOCK(A2)</f>
        <v>134.5</v>
      </c>
      <c r="F2" s="5">
        <f t="shared" ref="F2:F4" si="4">C2*E2</f>
        <v>13450</v>
      </c>
      <c r="G2" s="7">
        <f t="shared" ref="G2:G4" si="5">F2-D2</f>
        <v>3600</v>
      </c>
      <c r="H2" s="7">
        <f t="shared" ref="H2:H4" si="6">ROUND(100*F2/D2,2)-100</f>
        <v>36.55</v>
      </c>
      <c r="J2" s="8">
        <f>SUM(D:D)</f>
        <v>28800</v>
      </c>
      <c r="K2" s="8">
        <f t="shared" ref="K2:L2" si="1">SUM(F:F)</f>
        <v>35525</v>
      </c>
      <c r="L2" s="8">
        <f t="shared" si="1"/>
        <v>6725</v>
      </c>
      <c r="M2" s="8">
        <f>ROUND(100*K2/J2,2)-100</f>
        <v>23.35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22.5" customHeight="1">
      <c r="A3" s="4" t="s">
        <v>12</v>
      </c>
      <c r="B3" s="4">
        <v>117.5</v>
      </c>
      <c r="C3" s="4">
        <v>100.0</v>
      </c>
      <c r="D3" s="5">
        <f t="shared" si="2"/>
        <v>11750</v>
      </c>
      <c r="E3" s="6">
        <f t="shared" si="3"/>
        <v>134.5</v>
      </c>
      <c r="F3" s="5">
        <f t="shared" si="4"/>
        <v>13450</v>
      </c>
      <c r="G3" s="7">
        <f t="shared" si="5"/>
        <v>1700</v>
      </c>
      <c r="H3" s="7">
        <f t="shared" si="6"/>
        <v>14.47</v>
      </c>
      <c r="I3" s="3"/>
      <c r="J3" s="9"/>
      <c r="K3" s="9"/>
      <c r="L3" s="9"/>
      <c r="M3" s="9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2.5" customHeight="1">
      <c r="A4" s="4" t="s">
        <v>13</v>
      </c>
      <c r="B4" s="4">
        <v>72.0</v>
      </c>
      <c r="C4" s="4">
        <v>100.0</v>
      </c>
      <c r="D4" s="5">
        <f t="shared" si="2"/>
        <v>7200</v>
      </c>
      <c r="E4" s="6">
        <f t="shared" si="3"/>
        <v>86.25</v>
      </c>
      <c r="F4" s="5">
        <f t="shared" si="4"/>
        <v>8625</v>
      </c>
      <c r="G4" s="7">
        <f t="shared" si="5"/>
        <v>1425</v>
      </c>
      <c r="H4" s="7">
        <f t="shared" si="6"/>
        <v>19.79</v>
      </c>
      <c r="I4" s="3"/>
      <c r="J4" s="9"/>
      <c r="K4" s="9"/>
      <c r="L4" s="9"/>
      <c r="M4" s="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22.5" customHeight="1">
      <c r="A5" s="3"/>
      <c r="B5" s="3"/>
      <c r="C5" s="3"/>
      <c r="D5" s="3"/>
      <c r="E5" s="3"/>
      <c r="F5" s="3"/>
      <c r="G5" s="3"/>
      <c r="H5" s="3"/>
      <c r="I5" s="3"/>
      <c r="J5" s="1" t="s">
        <v>0</v>
      </c>
      <c r="K5" s="1" t="s">
        <v>3</v>
      </c>
      <c r="L5" s="1" t="s">
        <v>5</v>
      </c>
      <c r="M5" s="1" t="s">
        <v>14</v>
      </c>
      <c r="N5" s="10" t="s">
        <v>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22.5" customHeight="1">
      <c r="A6" s="3"/>
      <c r="B6" s="3"/>
      <c r="C6" s="3"/>
      <c r="D6" s="3"/>
      <c r="E6" s="3"/>
      <c r="F6" s="3"/>
      <c r="G6" s="3"/>
      <c r="H6" s="3"/>
      <c r="I6" s="3"/>
      <c r="J6" s="11" t="s">
        <v>12</v>
      </c>
      <c r="K6" s="12">
        <f t="shared" ref="K6:K7" si="7">SUMIF(A:A,J6,D:D)</f>
        <v>21600</v>
      </c>
      <c r="L6" s="12">
        <f t="shared" ref="L6:L7" si="8">SUMIF(A:A,J6,F:F)</f>
        <v>26900</v>
      </c>
      <c r="M6" s="13" t="s">
        <v>15</v>
      </c>
      <c r="N6" s="13">
        <f>ROUND(100*THAI_STOCK_SUMMARIZE[Current Value]/THAI_STOCK_SUMMARIZE[Cost],2)-100</f>
        <v>24.54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22.5" customHeight="1">
      <c r="A7" s="3"/>
      <c r="B7" s="3"/>
      <c r="C7" s="3"/>
      <c r="D7" s="3"/>
      <c r="E7" s="3"/>
      <c r="F7" s="3"/>
      <c r="G7" s="3"/>
      <c r="H7" s="3"/>
      <c r="I7" s="3"/>
      <c r="J7" s="11" t="s">
        <v>13</v>
      </c>
      <c r="K7" s="12">
        <f t="shared" si="7"/>
        <v>7200</v>
      </c>
      <c r="L7" s="12">
        <f t="shared" si="8"/>
        <v>8625</v>
      </c>
      <c r="M7" s="13" t="s">
        <v>15</v>
      </c>
      <c r="N7" s="13">
        <f>ROUND(100*THAI_STOCK_SUMMARIZE[Current Value]/THAI_STOCK_SUMMARIZE[Cost],2)-100</f>
        <v>19.79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3"/>
      <c r="B8" s="3"/>
      <c r="C8" s="3"/>
      <c r="D8" s="3"/>
      <c r="E8" s="3"/>
      <c r="F8" s="3"/>
      <c r="G8" s="3"/>
      <c r="H8" s="3"/>
      <c r="I8" s="3"/>
      <c r="J8" s="9"/>
      <c r="K8" s="9"/>
      <c r="L8" s="9"/>
      <c r="M8" s="9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3"/>
      <c r="B9" s="3"/>
      <c r="C9" s="3"/>
      <c r="D9" s="3"/>
      <c r="E9" s="3"/>
      <c r="F9" s="3"/>
      <c r="G9" s="3"/>
      <c r="H9" s="3"/>
      <c r="I9" s="3"/>
      <c r="J9" s="9"/>
      <c r="K9" s="9"/>
      <c r="L9" s="9"/>
      <c r="M9" s="9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22.5" customHeight="1">
      <c r="A10" s="3"/>
      <c r="B10" s="3"/>
      <c r="C10" s="3"/>
      <c r="D10" s="3"/>
      <c r="E10" s="3"/>
      <c r="F10" s="3"/>
      <c r="G10" s="3"/>
      <c r="H10" s="3"/>
      <c r="I10" s="3"/>
      <c r="J10" s="1" t="s">
        <v>14</v>
      </c>
      <c r="K10" s="1" t="s">
        <v>3</v>
      </c>
      <c r="L10" s="1" t="s">
        <v>6</v>
      </c>
      <c r="M10" s="1" t="s">
        <v>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22.5" customHeight="1">
      <c r="A11" s="3"/>
      <c r="B11" s="3"/>
      <c r="C11" s="3"/>
      <c r="D11" s="3"/>
      <c r="E11" s="3"/>
      <c r="F11" s="3"/>
      <c r="G11" s="3"/>
      <c r="H11" s="3"/>
      <c r="I11" s="3"/>
      <c r="J11" s="14" t="s">
        <v>15</v>
      </c>
      <c r="K11" s="15">
        <f>SUMIF(THAI_STOCK_SUMMARIZE[Sector],J11,THAI_STOCK_SUMMARIZE[Cost])</f>
        <v>28800</v>
      </c>
      <c r="L11" s="15">
        <f>SUMIF(THAI_STOCK_SUMMARIZE[Sector],J11,THAI_STOCK_SUMMARIZE[Current Value])</f>
        <v>35525</v>
      </c>
      <c r="M11" s="15">
        <f>ROUND((100*L11/K11),2)-100</f>
        <v>23.35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</sheetData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16.5"/>
    <col customWidth="1" min="3" max="4" width="21.0"/>
    <col customWidth="1" min="5" max="6" width="19.0"/>
    <col customWidth="1" min="10" max="10" width="18.75"/>
    <col customWidth="1" min="12" max="12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6"/>
      <c r="J1" s="2" t="s">
        <v>8</v>
      </c>
      <c r="K1" s="2" t="s">
        <v>9</v>
      </c>
      <c r="L1" s="2" t="s">
        <v>10</v>
      </c>
      <c r="M1" s="2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22.5" customHeight="1">
      <c r="A2" s="4" t="s">
        <v>16</v>
      </c>
      <c r="B2" s="4">
        <v>20.3208</v>
      </c>
      <c r="C2" s="4">
        <v>98.4213</v>
      </c>
      <c r="D2" s="5">
        <f t="shared" ref="D2:D16" si="2">B2*C2</f>
        <v>1999.999553</v>
      </c>
      <c r="E2" s="6">
        <f t="shared" ref="E2:E16" si="3">setMutualfundInfo(A2)</f>
        <v>38.8677</v>
      </c>
      <c r="F2" s="5">
        <f t="shared" ref="F2:F16" si="4">C2*E2</f>
        <v>3825.409562</v>
      </c>
      <c r="G2" s="7">
        <f t="shared" ref="G2:G16" si="5">F2-D2</f>
        <v>1825.410009</v>
      </c>
      <c r="H2" s="7">
        <f t="shared" ref="H2:H16" si="6">ROUND((100*F2)/D2,2)-100</f>
        <v>91.27</v>
      </c>
      <c r="I2" s="16"/>
      <c r="J2" s="8">
        <f>SUM(D:D)</f>
        <v>37162.44261</v>
      </c>
      <c r="K2" s="8">
        <f t="shared" ref="K2:L2" si="1">SUM(F:F)</f>
        <v>45957.76721</v>
      </c>
      <c r="L2" s="8">
        <f t="shared" si="1"/>
        <v>8795.324595</v>
      </c>
      <c r="M2" s="8">
        <f>ROUND(100*K2/J2,2)-100</f>
        <v>23.67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22.5" customHeight="1">
      <c r="A3" s="4" t="s">
        <v>17</v>
      </c>
      <c r="B3" s="4">
        <v>57.7668</v>
      </c>
      <c r="C3" s="4">
        <v>86.5549</v>
      </c>
      <c r="D3" s="5">
        <f t="shared" si="2"/>
        <v>4999.999597</v>
      </c>
      <c r="E3" s="4">
        <f t="shared" si="3"/>
        <v>69.8739</v>
      </c>
      <c r="F3" s="5">
        <f t="shared" si="4"/>
        <v>6047.928427</v>
      </c>
      <c r="G3" s="7">
        <f t="shared" si="5"/>
        <v>1047.92883</v>
      </c>
      <c r="H3" s="7">
        <f t="shared" si="6"/>
        <v>20.96</v>
      </c>
      <c r="I3" s="9"/>
      <c r="J3" s="9"/>
      <c r="K3" s="9"/>
      <c r="L3" s="9"/>
      <c r="M3" s="9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2.5" customHeight="1">
      <c r="A4" s="4" t="s">
        <v>17</v>
      </c>
      <c r="B4" s="4">
        <v>56.3612</v>
      </c>
      <c r="C4" s="4">
        <v>88.7135</v>
      </c>
      <c r="D4" s="5">
        <f t="shared" si="2"/>
        <v>4999.999316</v>
      </c>
      <c r="E4" s="6">
        <f t="shared" si="3"/>
        <v>69.8739</v>
      </c>
      <c r="F4" s="5">
        <f t="shared" si="4"/>
        <v>6198.758228</v>
      </c>
      <c r="G4" s="7">
        <f t="shared" si="5"/>
        <v>1198.758911</v>
      </c>
      <c r="H4" s="7">
        <f t="shared" si="6"/>
        <v>23.98</v>
      </c>
      <c r="I4" s="9"/>
      <c r="J4" s="9"/>
      <c r="K4" s="9"/>
      <c r="L4" s="9"/>
      <c r="M4" s="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22.5" customHeight="1">
      <c r="A5" s="4" t="s">
        <v>18</v>
      </c>
      <c r="B5" s="4">
        <v>14.5769</v>
      </c>
      <c r="C5" s="4">
        <v>102.9025</v>
      </c>
      <c r="D5" s="5">
        <f t="shared" si="2"/>
        <v>1499.999452</v>
      </c>
      <c r="E5" s="4">
        <f t="shared" si="3"/>
        <v>23.2316</v>
      </c>
      <c r="F5" s="5">
        <f t="shared" si="4"/>
        <v>2390.589719</v>
      </c>
      <c r="G5" s="7">
        <f t="shared" si="5"/>
        <v>890.5902668</v>
      </c>
      <c r="H5" s="7">
        <f t="shared" si="6"/>
        <v>59.37</v>
      </c>
      <c r="I5" s="9"/>
      <c r="J5" s="1" t="s">
        <v>0</v>
      </c>
      <c r="K5" s="1" t="s">
        <v>3</v>
      </c>
      <c r="L5" s="1" t="s">
        <v>5</v>
      </c>
      <c r="M5" s="1" t="s">
        <v>14</v>
      </c>
      <c r="N5" s="10" t="s">
        <v>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22.5" customHeight="1">
      <c r="A6" s="4" t="s">
        <v>19</v>
      </c>
      <c r="B6" s="4">
        <v>12.9019</v>
      </c>
      <c r="C6" s="4">
        <v>155.0159</v>
      </c>
      <c r="D6" s="5">
        <f t="shared" si="2"/>
        <v>1999.99964</v>
      </c>
      <c r="E6" s="6">
        <f t="shared" si="3"/>
        <v>16.5984</v>
      </c>
      <c r="F6" s="5">
        <f t="shared" si="4"/>
        <v>2573.015915</v>
      </c>
      <c r="G6" s="7">
        <f t="shared" si="5"/>
        <v>573.0162744</v>
      </c>
      <c r="H6" s="7">
        <f t="shared" si="6"/>
        <v>28.65</v>
      </c>
      <c r="I6" s="9"/>
      <c r="J6" s="11" t="s">
        <v>16</v>
      </c>
      <c r="K6" s="12">
        <f t="shared" ref="K6:K16" si="7">SUMIF(A:A,J6,D:D)</f>
        <v>3999.999472</v>
      </c>
      <c r="L6" s="12">
        <f t="shared" ref="L6:L16" si="8">SUMIF(A:A,J6,F:F)</f>
        <v>6100.882471</v>
      </c>
      <c r="M6" s="13" t="s">
        <v>20</v>
      </c>
      <c r="N6" s="12">
        <f t="shared" ref="N6:N16" si="9">ROUND((100*L6/K6),2)-100</f>
        <v>52.52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22.5" customHeight="1">
      <c r="A7" s="4" t="s">
        <v>21</v>
      </c>
      <c r="B7" s="4">
        <v>17.0716</v>
      </c>
      <c r="C7" s="4">
        <v>146.442</v>
      </c>
      <c r="D7" s="5">
        <f t="shared" si="2"/>
        <v>2499.999247</v>
      </c>
      <c r="E7" s="4">
        <f t="shared" si="3"/>
        <v>14.5998</v>
      </c>
      <c r="F7" s="5">
        <f t="shared" si="4"/>
        <v>2138.023912</v>
      </c>
      <c r="G7" s="7">
        <f t="shared" si="5"/>
        <v>-361.9753356</v>
      </c>
      <c r="H7" s="7">
        <f t="shared" si="6"/>
        <v>-14.48</v>
      </c>
      <c r="I7" s="9"/>
      <c r="J7" s="11" t="s">
        <v>17</v>
      </c>
      <c r="K7" s="12">
        <f t="shared" si="7"/>
        <v>9999.998914</v>
      </c>
      <c r="L7" s="12">
        <f t="shared" si="8"/>
        <v>12246.68665</v>
      </c>
      <c r="M7" s="17" t="s">
        <v>22</v>
      </c>
      <c r="N7" s="12">
        <f t="shared" si="9"/>
        <v>22.47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22.5" customHeight="1">
      <c r="A8" s="4" t="s">
        <v>23</v>
      </c>
      <c r="B8" s="4">
        <v>27.0606</v>
      </c>
      <c r="C8" s="4">
        <v>15.1497</v>
      </c>
      <c r="D8" s="5">
        <f t="shared" si="2"/>
        <v>409.9599718</v>
      </c>
      <c r="E8" s="6">
        <f t="shared" si="3"/>
        <v>23.0761</v>
      </c>
      <c r="F8" s="5">
        <f t="shared" si="4"/>
        <v>349.5959922</v>
      </c>
      <c r="G8" s="7">
        <f t="shared" si="5"/>
        <v>-60.36397965</v>
      </c>
      <c r="H8" s="7">
        <f t="shared" si="6"/>
        <v>-14.72</v>
      </c>
      <c r="I8" s="9"/>
      <c r="J8" s="11" t="s">
        <v>18</v>
      </c>
      <c r="K8" s="12">
        <f t="shared" si="7"/>
        <v>1499.999452</v>
      </c>
      <c r="L8" s="12">
        <f t="shared" si="8"/>
        <v>2390.589719</v>
      </c>
      <c r="M8" s="17" t="s">
        <v>24</v>
      </c>
      <c r="N8" s="12">
        <f t="shared" si="9"/>
        <v>59.37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22.5" customHeight="1">
      <c r="A9" s="4" t="s">
        <v>25</v>
      </c>
      <c r="B9" s="4">
        <v>11.9095</v>
      </c>
      <c r="C9" s="4">
        <v>251.8997</v>
      </c>
      <c r="D9" s="5">
        <f t="shared" si="2"/>
        <v>2999.999477</v>
      </c>
      <c r="E9" s="4">
        <f t="shared" si="3"/>
        <v>12.7513</v>
      </c>
      <c r="F9" s="5">
        <f t="shared" si="4"/>
        <v>3212.048645</v>
      </c>
      <c r="G9" s="7">
        <f t="shared" si="5"/>
        <v>212.0491675</v>
      </c>
      <c r="H9" s="7">
        <f t="shared" si="6"/>
        <v>7.07</v>
      </c>
      <c r="I9" s="9"/>
      <c r="J9" s="11" t="s">
        <v>19</v>
      </c>
      <c r="K9" s="12">
        <f t="shared" si="7"/>
        <v>1999.99964</v>
      </c>
      <c r="L9" s="12">
        <f t="shared" si="8"/>
        <v>2573.015915</v>
      </c>
      <c r="M9" s="13" t="s">
        <v>26</v>
      </c>
      <c r="N9" s="12">
        <f t="shared" si="9"/>
        <v>28.65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22.5" customHeight="1">
      <c r="A10" s="4" t="s">
        <v>27</v>
      </c>
      <c r="B10" s="4">
        <v>10.3026</v>
      </c>
      <c r="C10" s="4">
        <v>252.3239031</v>
      </c>
      <c r="D10" s="5">
        <f t="shared" si="2"/>
        <v>2599.592244</v>
      </c>
      <c r="E10" s="6">
        <f t="shared" si="3"/>
        <v>11.0288</v>
      </c>
      <c r="F10" s="5">
        <f t="shared" si="4"/>
        <v>2782.829863</v>
      </c>
      <c r="G10" s="7">
        <f t="shared" si="5"/>
        <v>183.2376184</v>
      </c>
      <c r="H10" s="7">
        <f t="shared" si="6"/>
        <v>7.05</v>
      </c>
      <c r="I10" s="9"/>
      <c r="J10" s="11" t="s">
        <v>21</v>
      </c>
      <c r="K10" s="12">
        <f t="shared" si="7"/>
        <v>2499.999247</v>
      </c>
      <c r="L10" s="12">
        <f t="shared" si="8"/>
        <v>2138.023912</v>
      </c>
      <c r="M10" s="13" t="s">
        <v>28</v>
      </c>
      <c r="N10" s="12">
        <f t="shared" si="9"/>
        <v>-14.48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22.5" customHeight="1">
      <c r="A11" s="4" t="s">
        <v>29</v>
      </c>
      <c r="B11" s="4">
        <v>4.8327</v>
      </c>
      <c r="C11" s="4">
        <v>310.385498789</v>
      </c>
      <c r="D11" s="5">
        <f t="shared" si="2"/>
        <v>1500</v>
      </c>
      <c r="E11" s="4">
        <f t="shared" si="3"/>
        <v>4.8266</v>
      </c>
      <c r="F11" s="5">
        <f t="shared" si="4"/>
        <v>1498.106648</v>
      </c>
      <c r="G11" s="7">
        <f t="shared" si="5"/>
        <v>-1.893351543</v>
      </c>
      <c r="H11" s="7">
        <f t="shared" si="6"/>
        <v>-0.13</v>
      </c>
      <c r="I11" s="9"/>
      <c r="J11" s="11" t="s">
        <v>23</v>
      </c>
      <c r="K11" s="12">
        <f t="shared" si="7"/>
        <v>409.9599718</v>
      </c>
      <c r="L11" s="12">
        <f t="shared" si="8"/>
        <v>349.5959922</v>
      </c>
      <c r="M11" s="17" t="s">
        <v>30</v>
      </c>
      <c r="N11" s="12">
        <f t="shared" si="9"/>
        <v>-14.72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22.5" customHeight="1">
      <c r="A12" s="4" t="s">
        <v>31</v>
      </c>
      <c r="B12" s="4">
        <v>10.0713</v>
      </c>
      <c r="C12" s="4">
        <v>248.2301</v>
      </c>
      <c r="D12" s="5">
        <f t="shared" si="2"/>
        <v>2499.999806</v>
      </c>
      <c r="E12" s="6">
        <f t="shared" si="3"/>
        <v>10.8216</v>
      </c>
      <c r="F12" s="5">
        <f t="shared" si="4"/>
        <v>2686.24685</v>
      </c>
      <c r="G12" s="7">
        <f t="shared" si="5"/>
        <v>186.247044</v>
      </c>
      <c r="H12" s="7">
        <f t="shared" si="6"/>
        <v>7.45</v>
      </c>
      <c r="I12" s="9"/>
      <c r="J12" s="11" t="s">
        <v>25</v>
      </c>
      <c r="K12" s="17">
        <f t="shared" si="7"/>
        <v>2999.999477</v>
      </c>
      <c r="L12" s="17">
        <f t="shared" si="8"/>
        <v>3212.048645</v>
      </c>
      <c r="M12" s="13" t="s">
        <v>32</v>
      </c>
      <c r="N12" s="12">
        <f t="shared" si="9"/>
        <v>7.07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22.5" customHeight="1">
      <c r="A13" s="4" t="s">
        <v>33</v>
      </c>
      <c r="B13" s="4">
        <v>23.5158</v>
      </c>
      <c r="C13" s="4">
        <v>224.4798</v>
      </c>
      <c r="D13" s="5">
        <f t="shared" si="2"/>
        <v>5278.822081</v>
      </c>
      <c r="E13" s="4">
        <f t="shared" si="3"/>
        <v>36.6259</v>
      </c>
      <c r="F13" s="5">
        <f t="shared" si="4"/>
        <v>8221.774707</v>
      </c>
      <c r="G13" s="7">
        <f t="shared" si="5"/>
        <v>2942.952626</v>
      </c>
      <c r="H13" s="7">
        <f t="shared" si="6"/>
        <v>55.75</v>
      </c>
      <c r="I13" s="9"/>
      <c r="J13" s="11" t="s">
        <v>27</v>
      </c>
      <c r="K13" s="17">
        <f t="shared" si="7"/>
        <v>2599.592244</v>
      </c>
      <c r="L13" s="17">
        <f t="shared" si="8"/>
        <v>2782.829863</v>
      </c>
      <c r="M13" s="13" t="s">
        <v>34</v>
      </c>
      <c r="N13" s="12">
        <f t="shared" si="9"/>
        <v>7.05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22.5" customHeight="1">
      <c r="A14" s="4" t="s">
        <v>16</v>
      </c>
      <c r="B14" s="4">
        <v>31.7664</v>
      </c>
      <c r="C14" s="4">
        <v>31.4798</v>
      </c>
      <c r="D14" s="5">
        <f t="shared" si="2"/>
        <v>999.9999187</v>
      </c>
      <c r="E14" s="4">
        <f t="shared" si="3"/>
        <v>38.8677</v>
      </c>
      <c r="F14" s="5">
        <f t="shared" si="4"/>
        <v>1223.547422</v>
      </c>
      <c r="G14" s="7">
        <f t="shared" si="5"/>
        <v>223.5475037</v>
      </c>
      <c r="H14" s="7">
        <f t="shared" si="6"/>
        <v>22.35</v>
      </c>
      <c r="I14" s="9"/>
      <c r="J14" s="11" t="s">
        <v>29</v>
      </c>
      <c r="K14" s="17">
        <f t="shared" si="7"/>
        <v>1500</v>
      </c>
      <c r="L14" s="17">
        <f t="shared" si="8"/>
        <v>1498.106648</v>
      </c>
      <c r="M14" s="13" t="s">
        <v>20</v>
      </c>
      <c r="N14" s="12">
        <f t="shared" si="9"/>
        <v>-0.13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22.5" customHeight="1">
      <c r="A15" s="4" t="s">
        <v>35</v>
      </c>
      <c r="B15" s="4">
        <v>11.7926</v>
      </c>
      <c r="C15" s="4">
        <f>79.4596742153*2</f>
        <v>158.9193484</v>
      </c>
      <c r="D15" s="5">
        <f t="shared" si="2"/>
        <v>1874.072308</v>
      </c>
      <c r="E15" s="4">
        <f t="shared" si="3"/>
        <v>11.062</v>
      </c>
      <c r="F15" s="5">
        <f t="shared" si="4"/>
        <v>1757.965832</v>
      </c>
      <c r="G15" s="7">
        <f t="shared" si="5"/>
        <v>-116.106476</v>
      </c>
      <c r="H15" s="7">
        <f t="shared" si="6"/>
        <v>-6.2</v>
      </c>
      <c r="I15" s="9"/>
      <c r="J15" s="11" t="s">
        <v>31</v>
      </c>
      <c r="K15" s="17">
        <f t="shared" si="7"/>
        <v>2499.999806</v>
      </c>
      <c r="L15" s="17">
        <f t="shared" si="8"/>
        <v>2686.24685</v>
      </c>
      <c r="M15" s="13" t="s">
        <v>20</v>
      </c>
      <c r="N15" s="12">
        <f t="shared" si="9"/>
        <v>7.45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22.5" customHeight="1">
      <c r="A16" s="4" t="s">
        <v>16</v>
      </c>
      <c r="B16" s="4">
        <v>36.9491</v>
      </c>
      <c r="C16" s="4">
        <v>27.0642586694</v>
      </c>
      <c r="D16" s="5">
        <f t="shared" si="2"/>
        <v>1000</v>
      </c>
      <c r="E16" s="4">
        <f t="shared" si="3"/>
        <v>38.8677</v>
      </c>
      <c r="F16" s="5">
        <f t="shared" si="4"/>
        <v>1051.925487</v>
      </c>
      <c r="G16" s="7">
        <f t="shared" si="5"/>
        <v>51.92548668</v>
      </c>
      <c r="H16" s="7">
        <f t="shared" si="6"/>
        <v>5.19</v>
      </c>
      <c r="I16" s="9"/>
      <c r="J16" s="11" t="s">
        <v>35</v>
      </c>
      <c r="K16" s="17">
        <f t="shared" si="7"/>
        <v>1874.072308</v>
      </c>
      <c r="L16" s="17">
        <f t="shared" si="8"/>
        <v>1757.965832</v>
      </c>
      <c r="M16" s="13" t="s">
        <v>36</v>
      </c>
      <c r="N16" s="12">
        <f t="shared" si="9"/>
        <v>-6.2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/>
      <c r="B17" s="3"/>
      <c r="C17" s="3"/>
      <c r="D17" s="3"/>
      <c r="E17" s="3"/>
      <c r="F17" s="3"/>
      <c r="G17" s="3"/>
      <c r="H17" s="3"/>
      <c r="I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/>
      <c r="B18" s="3"/>
      <c r="C18" s="3"/>
      <c r="D18" s="3"/>
      <c r="E18" s="3"/>
      <c r="F18" s="3"/>
      <c r="G18" s="3"/>
      <c r="H18" s="3"/>
      <c r="I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"/>
      <c r="B19" s="3"/>
      <c r="C19" s="3"/>
      <c r="D19" s="3"/>
      <c r="E19" s="3"/>
      <c r="F19" s="3"/>
      <c r="G19" s="3"/>
      <c r="H19" s="3"/>
      <c r="I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"/>
      <c r="B20" s="3"/>
      <c r="C20" s="3"/>
      <c r="D20" s="3"/>
      <c r="E20" s="3"/>
      <c r="F20" s="3"/>
      <c r="G20" s="3"/>
      <c r="H20" s="3"/>
      <c r="I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22.5" customHeight="1">
      <c r="A21" s="3"/>
      <c r="B21" s="3"/>
      <c r="C21" s="3"/>
      <c r="D21" s="3"/>
      <c r="E21" s="3"/>
      <c r="F21" s="3"/>
      <c r="G21" s="3"/>
      <c r="H21" s="3"/>
      <c r="I21" s="3"/>
      <c r="J21" s="1" t="s">
        <v>14</v>
      </c>
      <c r="K21" s="1" t="s">
        <v>3</v>
      </c>
      <c r="L21" s="1" t="s">
        <v>6</v>
      </c>
      <c r="M21" s="1" t="s">
        <v>7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22.5" customHeight="1">
      <c r="A22" s="3"/>
      <c r="B22" s="3"/>
      <c r="C22" s="3"/>
      <c r="D22" s="3"/>
      <c r="E22" s="3"/>
      <c r="F22" s="3"/>
      <c r="G22" s="3"/>
      <c r="H22" s="3"/>
      <c r="I22" s="3"/>
      <c r="J22" s="14" t="s">
        <v>20</v>
      </c>
      <c r="K22" s="15">
        <f>SUMIF(FUND_SUMMARIZE[Sector],J22,FUND_SUMMARIZE[Cost])</f>
        <v>7999.999278</v>
      </c>
      <c r="L22" s="15">
        <f>SUMIF(FUND_SUMMARIZE[Sector],J22,FUND_SUMMARIZE[Current Value])</f>
        <v>10285.23597</v>
      </c>
      <c r="M22" s="15">
        <f t="shared" ref="M22:M30" si="10">ROUND((100*L22/K22),2)-100</f>
        <v>28.57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22.5" customHeight="1">
      <c r="A23" s="3"/>
      <c r="B23" s="3"/>
      <c r="C23" s="3"/>
      <c r="D23" s="3"/>
      <c r="E23" s="3"/>
      <c r="F23" s="3"/>
      <c r="G23" s="3"/>
      <c r="H23" s="3"/>
      <c r="I23" s="3"/>
      <c r="J23" s="14" t="s">
        <v>22</v>
      </c>
      <c r="K23" s="15">
        <f>SUMIF(FUND_SUMMARIZE[Sector],J23,FUND_SUMMARIZE[Cost])</f>
        <v>9999.998914</v>
      </c>
      <c r="L23" s="15">
        <f>SUMIF(FUND_SUMMARIZE[Sector],J23,FUND_SUMMARIZE[Current Value])</f>
        <v>12246.68665</v>
      </c>
      <c r="M23" s="15">
        <f t="shared" si="10"/>
        <v>22.47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22.5" customHeight="1">
      <c r="A24" s="3"/>
      <c r="B24" s="3"/>
      <c r="C24" s="3"/>
      <c r="D24" s="3"/>
      <c r="E24" s="3"/>
      <c r="F24" s="3"/>
      <c r="G24" s="3"/>
      <c r="H24" s="3"/>
      <c r="I24" s="3"/>
      <c r="J24" s="14" t="s">
        <v>24</v>
      </c>
      <c r="K24" s="15">
        <f>SUMIF(FUND_SUMMARIZE[Sector],J24,FUND_SUMMARIZE[Cost])</f>
        <v>1499.999452</v>
      </c>
      <c r="L24" s="15">
        <f>SUMIF(FUND_SUMMARIZE[Sector],J24,FUND_SUMMARIZE[Current Value])</f>
        <v>2390.589719</v>
      </c>
      <c r="M24" s="15">
        <f t="shared" si="10"/>
        <v>59.37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22.5" customHeight="1">
      <c r="A25" s="3"/>
      <c r="B25" s="3"/>
      <c r="C25" s="3"/>
      <c r="D25" s="3"/>
      <c r="E25" s="3"/>
      <c r="F25" s="3"/>
      <c r="G25" s="3"/>
      <c r="H25" s="3"/>
      <c r="I25" s="3"/>
      <c r="J25" s="14" t="s">
        <v>26</v>
      </c>
      <c r="K25" s="15">
        <f>SUMIF(FUND_SUMMARIZE[Sector],J25,FUND_SUMMARIZE[Cost])</f>
        <v>1999.99964</v>
      </c>
      <c r="L25" s="15">
        <f>SUMIF(FUND_SUMMARIZE[Sector],J25,FUND_SUMMARIZE[Current Value])</f>
        <v>2573.015915</v>
      </c>
      <c r="M25" s="15">
        <f t="shared" si="10"/>
        <v>28.65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22.5" customHeight="1">
      <c r="A26" s="3"/>
      <c r="B26" s="3"/>
      <c r="C26" s="3"/>
      <c r="D26" s="3"/>
      <c r="E26" s="3"/>
      <c r="F26" s="3"/>
      <c r="G26" s="3"/>
      <c r="H26" s="3"/>
      <c r="I26" s="3"/>
      <c r="J26" s="14" t="s">
        <v>28</v>
      </c>
      <c r="K26" s="15">
        <f>SUMIF(FUND_SUMMARIZE[Sector],J26,FUND_SUMMARIZE[Cost])</f>
        <v>2499.999247</v>
      </c>
      <c r="L26" s="15">
        <f>SUMIF(FUND_SUMMARIZE[Sector],J26,FUND_SUMMARIZE[Current Value])</f>
        <v>2138.023912</v>
      </c>
      <c r="M26" s="15">
        <f t="shared" si="10"/>
        <v>-14.48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22.5" customHeight="1">
      <c r="A27" s="3"/>
      <c r="B27" s="3"/>
      <c r="C27" s="3"/>
      <c r="D27" s="3"/>
      <c r="E27" s="3"/>
      <c r="F27" s="3"/>
      <c r="G27" s="3"/>
      <c r="H27" s="3"/>
      <c r="I27" s="3"/>
      <c r="J27" s="14" t="s">
        <v>30</v>
      </c>
      <c r="K27" s="15">
        <f>SUMIF(FUND_SUMMARIZE[Sector],J27,FUND_SUMMARIZE[Cost])</f>
        <v>409.9599718</v>
      </c>
      <c r="L27" s="15">
        <f>SUMIF(FUND_SUMMARIZE[Sector],J27,FUND_SUMMARIZE[Current Value])</f>
        <v>349.5959922</v>
      </c>
      <c r="M27" s="15">
        <f t="shared" si="10"/>
        <v>-14.72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22.5" customHeight="1">
      <c r="A28" s="3"/>
      <c r="B28" s="3"/>
      <c r="C28" s="3"/>
      <c r="D28" s="3"/>
      <c r="E28" s="3"/>
      <c r="F28" s="3"/>
      <c r="G28" s="3"/>
      <c r="H28" s="3"/>
      <c r="I28" s="3"/>
      <c r="J28" s="14" t="s">
        <v>32</v>
      </c>
      <c r="K28" s="15">
        <f>SUMIF(FUND_SUMMARIZE[Sector],J28,FUND_SUMMARIZE[Cost])</f>
        <v>2999.999477</v>
      </c>
      <c r="L28" s="15">
        <f>SUMIF(FUND_SUMMARIZE[Sector],J28,FUND_SUMMARIZE[Current Value])</f>
        <v>3212.048645</v>
      </c>
      <c r="M28" s="15">
        <f t="shared" si="10"/>
        <v>7.07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22.5" customHeight="1">
      <c r="A29" s="3"/>
      <c r="B29" s="3"/>
      <c r="C29" s="3"/>
      <c r="D29" s="3"/>
      <c r="E29" s="3"/>
      <c r="F29" s="3"/>
      <c r="G29" s="3"/>
      <c r="H29" s="3"/>
      <c r="I29" s="3"/>
      <c r="J29" s="14" t="s">
        <v>34</v>
      </c>
      <c r="K29" s="15">
        <f>SUMIF(FUND_SUMMARIZE[Sector],J29,FUND_SUMMARIZE[Cost])</f>
        <v>2599.592244</v>
      </c>
      <c r="L29" s="15">
        <f>SUMIF(FUND_SUMMARIZE[Sector],J29,FUND_SUMMARIZE[Current Value])</f>
        <v>2782.829863</v>
      </c>
      <c r="M29" s="15">
        <f t="shared" si="10"/>
        <v>7.05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22.5" customHeight="1">
      <c r="A30" s="3"/>
      <c r="B30" s="3"/>
      <c r="C30" s="3"/>
      <c r="D30" s="3"/>
      <c r="E30" s="3"/>
      <c r="F30" s="3"/>
      <c r="G30" s="3"/>
      <c r="H30" s="3"/>
      <c r="I30" s="3"/>
      <c r="J30" s="14" t="s">
        <v>36</v>
      </c>
      <c r="K30" s="15">
        <f>SUMIF(FUND_SUMMARIZE[Sector],J30,FUND_SUMMARIZE[Cost])</f>
        <v>1874.072308</v>
      </c>
      <c r="L30" s="15">
        <f>SUMIF(FUND_SUMMARIZE[Sector],J30,FUND_SUMMARIZE[Current Value])</f>
        <v>1757.965832</v>
      </c>
      <c r="M30" s="15">
        <f t="shared" si="10"/>
        <v>-6.2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I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I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I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I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I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</sheetData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5"/>
    <col customWidth="1" min="3" max="4" width="21.0"/>
    <col customWidth="1" min="5" max="6" width="19.0"/>
    <col customWidth="1" min="10" max="10" width="13.13"/>
    <col customWidth="1" min="11" max="11" width="14.25"/>
    <col customWidth="1" min="12" max="12" width="1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2" t="s">
        <v>8</v>
      </c>
      <c r="K1" s="2" t="s">
        <v>9</v>
      </c>
      <c r="L1" s="2" t="s">
        <v>10</v>
      </c>
      <c r="M1" s="2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22.5" customHeight="1">
      <c r="A2" s="4" t="s">
        <v>37</v>
      </c>
      <c r="B2" s="4">
        <v>182.13</v>
      </c>
      <c r="C2" s="4">
        <v>0.3145555</v>
      </c>
      <c r="D2" s="5">
        <f t="shared" ref="D2:D34" si="2">B2*C2</f>
        <v>57.28999322</v>
      </c>
      <c r="E2" s="6">
        <f>IFERROR(__xludf.DUMMYFUNCTION("GOOGLEFINANCE(A2)"),312.51)</f>
        <v>312.51</v>
      </c>
      <c r="F2" s="5">
        <f t="shared" ref="F2:F34" si="3">C2*E2</f>
        <v>98.30173931</v>
      </c>
      <c r="G2" s="7">
        <f t="shared" ref="G2:G34" si="4">F2-D2</f>
        <v>41.01174609</v>
      </c>
      <c r="H2" s="7">
        <f t="shared" ref="H2:H34" si="5">ROUND(100*F2/D2,2)-100</f>
        <v>71.59</v>
      </c>
      <c r="I2" s="3"/>
      <c r="J2" s="8">
        <f>SUM(D:D)</f>
        <v>2080.751758</v>
      </c>
      <c r="K2" s="8">
        <f t="shared" ref="K2:L2" si="1">SUM(F:F)</f>
        <v>2711.506002</v>
      </c>
      <c r="L2" s="8">
        <f t="shared" si="1"/>
        <v>630.7542431</v>
      </c>
      <c r="M2" s="8">
        <f>ROUND(100*K2/J2,2)-100</f>
        <v>30.31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22.5" customHeight="1">
      <c r="A3" s="4" t="s">
        <v>37</v>
      </c>
      <c r="B3" s="4">
        <v>183.93</v>
      </c>
      <c r="C3" s="4">
        <v>0.3381214</v>
      </c>
      <c r="D3" s="5">
        <f t="shared" si="2"/>
        <v>62.1906691</v>
      </c>
      <c r="E3" s="6">
        <f>IFERROR(__xludf.DUMMYFUNCTION("GOOGLEFINANCE(A3)"),312.51)</f>
        <v>312.51</v>
      </c>
      <c r="F3" s="5">
        <f t="shared" si="3"/>
        <v>105.6663187</v>
      </c>
      <c r="G3" s="7">
        <f t="shared" si="4"/>
        <v>43.47564961</v>
      </c>
      <c r="H3" s="7">
        <f t="shared" si="5"/>
        <v>69.91</v>
      </c>
      <c r="I3" s="3"/>
      <c r="J3" s="9"/>
      <c r="K3" s="9"/>
      <c r="L3" s="9"/>
      <c r="M3" s="9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2.5" customHeight="1">
      <c r="A4" s="4" t="s">
        <v>38</v>
      </c>
      <c r="B4" s="4">
        <v>231.75</v>
      </c>
      <c r="C4" s="4">
        <v>0.2154063</v>
      </c>
      <c r="D4" s="5">
        <f t="shared" si="2"/>
        <v>49.92041003</v>
      </c>
      <c r="E4" s="6">
        <f>IFERROR(__xludf.DUMMYFUNCTION("GOOGLEFINANCE(A4)"),274.0)</f>
        <v>274</v>
      </c>
      <c r="F4" s="5">
        <f t="shared" si="3"/>
        <v>59.0213262</v>
      </c>
      <c r="G4" s="7">
        <f t="shared" si="4"/>
        <v>9.100916175</v>
      </c>
      <c r="H4" s="7">
        <f t="shared" si="5"/>
        <v>18.23</v>
      </c>
      <c r="I4" s="3"/>
      <c r="J4" s="9"/>
      <c r="K4" s="9"/>
      <c r="L4" s="9"/>
      <c r="M4" s="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22.5" customHeight="1">
      <c r="A5" s="4" t="s">
        <v>38</v>
      </c>
      <c r="B5" s="4">
        <v>232.56</v>
      </c>
      <c r="C5" s="4">
        <v>0.4293011</v>
      </c>
      <c r="D5" s="5">
        <f t="shared" si="2"/>
        <v>99.83826382</v>
      </c>
      <c r="E5" s="6">
        <f>IFERROR(__xludf.DUMMYFUNCTION("GOOGLEFINANCE(A5)"),274.0)</f>
        <v>274</v>
      </c>
      <c r="F5" s="5">
        <f t="shared" si="3"/>
        <v>117.6285014</v>
      </c>
      <c r="G5" s="7">
        <f t="shared" si="4"/>
        <v>17.79023758</v>
      </c>
      <c r="H5" s="7">
        <f t="shared" si="5"/>
        <v>17.82</v>
      </c>
      <c r="I5" s="3"/>
      <c r="J5" s="1" t="s">
        <v>0</v>
      </c>
      <c r="K5" s="1" t="s">
        <v>3</v>
      </c>
      <c r="L5" s="1" t="s">
        <v>5</v>
      </c>
      <c r="M5" s="1" t="s">
        <v>14</v>
      </c>
      <c r="N5" s="10" t="s">
        <v>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22.5" customHeight="1">
      <c r="A6" s="4" t="s">
        <v>39</v>
      </c>
      <c r="B6" s="4">
        <v>176.49</v>
      </c>
      <c r="C6" s="4">
        <v>0.0483318</v>
      </c>
      <c r="D6" s="5">
        <f t="shared" si="2"/>
        <v>8.530079382</v>
      </c>
      <c r="E6" s="6">
        <f>IFERROR(__xludf.DUMMYFUNCTION("GOOGLEFINANCE(A6)"),390.13)</f>
        <v>390.13</v>
      </c>
      <c r="F6" s="5">
        <f t="shared" si="3"/>
        <v>18.85568513</v>
      </c>
      <c r="G6" s="7">
        <f t="shared" si="4"/>
        <v>10.32560575</v>
      </c>
      <c r="H6" s="7">
        <f t="shared" si="5"/>
        <v>121.05</v>
      </c>
      <c r="I6" s="3"/>
      <c r="J6" s="11" t="s">
        <v>39</v>
      </c>
      <c r="K6" s="18">
        <f t="shared" ref="K6:K27" si="6">SUMIF(A:A,J6,D:D)</f>
        <v>231.9871617</v>
      </c>
      <c r="L6" s="18">
        <f t="shared" ref="L6:L27" si="7">SUMIF(A:A,J6,F:F)</f>
        <v>345.1740717</v>
      </c>
      <c r="M6" s="13" t="s">
        <v>20</v>
      </c>
      <c r="N6" s="13">
        <f t="shared" ref="N6:N27" si="8">ROUND((100*L6/K6),2)-100</f>
        <v>48.79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22.5" customHeight="1">
      <c r="A7" s="4" t="s">
        <v>39</v>
      </c>
      <c r="B7" s="4">
        <v>240.08</v>
      </c>
      <c r="C7" s="4">
        <v>0.4158544</v>
      </c>
      <c r="D7" s="5">
        <f t="shared" si="2"/>
        <v>99.83832435</v>
      </c>
      <c r="E7" s="6">
        <f>IFERROR(__xludf.DUMMYFUNCTION("GOOGLEFINANCE(A7)"),390.13)</f>
        <v>390.13</v>
      </c>
      <c r="F7" s="5">
        <f t="shared" si="3"/>
        <v>162.2372771</v>
      </c>
      <c r="G7" s="7">
        <f t="shared" si="4"/>
        <v>62.39895272</v>
      </c>
      <c r="H7" s="7">
        <f t="shared" si="5"/>
        <v>62.5</v>
      </c>
      <c r="I7" s="3"/>
      <c r="J7" s="11" t="s">
        <v>38</v>
      </c>
      <c r="K7" s="18">
        <f t="shared" si="6"/>
        <v>189.2674575</v>
      </c>
      <c r="L7" s="18">
        <f t="shared" si="7"/>
        <v>218.023444</v>
      </c>
      <c r="M7" s="13" t="s">
        <v>40</v>
      </c>
      <c r="N7" s="13">
        <f t="shared" si="8"/>
        <v>15.19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22.5" customHeight="1">
      <c r="A8" s="4" t="s">
        <v>39</v>
      </c>
      <c r="B8" s="4">
        <v>246.85</v>
      </c>
      <c r="C8" s="4">
        <v>0.18675</v>
      </c>
      <c r="D8" s="5">
        <f t="shared" si="2"/>
        <v>46.0992375</v>
      </c>
      <c r="E8" s="6">
        <f>IFERROR(__xludf.DUMMYFUNCTION("GOOGLEFINANCE(A8)"),390.13)</f>
        <v>390.13</v>
      </c>
      <c r="F8" s="5">
        <f t="shared" si="3"/>
        <v>72.8567775</v>
      </c>
      <c r="G8" s="7">
        <f t="shared" si="4"/>
        <v>26.75754</v>
      </c>
      <c r="H8" s="7">
        <f t="shared" si="5"/>
        <v>58.04</v>
      </c>
      <c r="I8" s="3"/>
      <c r="J8" s="11" t="s">
        <v>37</v>
      </c>
      <c r="K8" s="18">
        <f t="shared" si="6"/>
        <v>149.4302017</v>
      </c>
      <c r="L8" s="18">
        <f t="shared" si="7"/>
        <v>238.8721437</v>
      </c>
      <c r="M8" s="13" t="s">
        <v>20</v>
      </c>
      <c r="N8" s="13">
        <f t="shared" si="8"/>
        <v>59.86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22.5" customHeight="1">
      <c r="A9" s="4" t="s">
        <v>39</v>
      </c>
      <c r="B9" s="4">
        <v>331.52</v>
      </c>
      <c r="C9" s="4">
        <v>0.2338306</v>
      </c>
      <c r="D9" s="5">
        <f t="shared" si="2"/>
        <v>77.51952051</v>
      </c>
      <c r="E9" s="6">
        <f>IFERROR(__xludf.DUMMYFUNCTION("GOOGLEFINANCE(A9)"),390.13)</f>
        <v>390.13</v>
      </c>
      <c r="F9" s="5">
        <f t="shared" si="3"/>
        <v>91.22433198</v>
      </c>
      <c r="G9" s="7">
        <f t="shared" si="4"/>
        <v>13.70481147</v>
      </c>
      <c r="H9" s="7">
        <f t="shared" si="5"/>
        <v>17.68</v>
      </c>
      <c r="I9" s="3"/>
      <c r="J9" s="11" t="s">
        <v>41</v>
      </c>
      <c r="K9" s="18">
        <f t="shared" si="6"/>
        <v>49.9996792</v>
      </c>
      <c r="L9" s="18">
        <f t="shared" si="7"/>
        <v>65.713376</v>
      </c>
      <c r="M9" s="13" t="s">
        <v>42</v>
      </c>
      <c r="N9" s="13">
        <f t="shared" si="8"/>
        <v>31.43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22.5" customHeight="1">
      <c r="A10" s="4" t="s">
        <v>41</v>
      </c>
      <c r="B10" s="4">
        <v>175.61</v>
      </c>
      <c r="C10" s="4">
        <v>0.28472</v>
      </c>
      <c r="D10" s="5">
        <f t="shared" si="2"/>
        <v>49.9996792</v>
      </c>
      <c r="E10" s="6">
        <f>IFERROR(__xludf.DUMMYFUNCTION("GOOGLEFINANCE(A10)"),230.8)</f>
        <v>230.8</v>
      </c>
      <c r="F10" s="5">
        <f t="shared" si="3"/>
        <v>65.713376</v>
      </c>
      <c r="G10" s="7">
        <f t="shared" si="4"/>
        <v>15.7136968</v>
      </c>
      <c r="H10" s="7">
        <f t="shared" si="5"/>
        <v>31.43</v>
      </c>
      <c r="I10" s="3"/>
      <c r="J10" s="11" t="s">
        <v>43</v>
      </c>
      <c r="K10" s="18">
        <f t="shared" si="6"/>
        <v>53.5429503</v>
      </c>
      <c r="L10" s="18">
        <f t="shared" si="7"/>
        <v>52.8861879</v>
      </c>
      <c r="M10" s="13" t="s">
        <v>15</v>
      </c>
      <c r="N10" s="13">
        <f t="shared" si="8"/>
        <v>-1.23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22.5" customHeight="1">
      <c r="A11" s="4" t="s">
        <v>43</v>
      </c>
      <c r="B11" s="4">
        <v>296.61</v>
      </c>
      <c r="C11" s="4">
        <v>0.13323</v>
      </c>
      <c r="D11" s="5">
        <f t="shared" si="2"/>
        <v>39.5173503</v>
      </c>
      <c r="E11" s="6">
        <f>IFERROR(__xludf.DUMMYFUNCTION("GOOGLEFINANCE(A11)"),296.73)</f>
        <v>296.73</v>
      </c>
      <c r="F11" s="5">
        <f t="shared" si="3"/>
        <v>39.5333379</v>
      </c>
      <c r="G11" s="7">
        <f t="shared" si="4"/>
        <v>0.0159876</v>
      </c>
      <c r="H11" s="7">
        <f t="shared" si="5"/>
        <v>0.04</v>
      </c>
      <c r="I11" s="3"/>
      <c r="J11" s="11" t="s">
        <v>44</v>
      </c>
      <c r="K11" s="18">
        <f t="shared" si="6"/>
        <v>191.0791703</v>
      </c>
      <c r="L11" s="18">
        <f t="shared" si="7"/>
        <v>166.8900236</v>
      </c>
      <c r="M11" s="13" t="s">
        <v>20</v>
      </c>
      <c r="N11" s="13">
        <f t="shared" si="8"/>
        <v>-12.66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22.5" customHeight="1">
      <c r="A12" s="4" t="s">
        <v>43</v>
      </c>
      <c r="B12" s="4">
        <v>311.68</v>
      </c>
      <c r="C12" s="4">
        <v>0.045</v>
      </c>
      <c r="D12" s="5">
        <f t="shared" si="2"/>
        <v>14.0256</v>
      </c>
      <c r="E12" s="6">
        <f>IFERROR(__xludf.DUMMYFUNCTION("GOOGLEFINANCE(A12)"),296.73)</f>
        <v>296.73</v>
      </c>
      <c r="F12" s="5">
        <f t="shared" si="3"/>
        <v>13.35285</v>
      </c>
      <c r="G12" s="7">
        <f t="shared" si="4"/>
        <v>-0.67275</v>
      </c>
      <c r="H12" s="7">
        <f t="shared" si="5"/>
        <v>-4.8</v>
      </c>
      <c r="I12" s="3"/>
      <c r="J12" s="11" t="s">
        <v>45</v>
      </c>
      <c r="K12" s="18">
        <f t="shared" si="6"/>
        <v>99.83994539</v>
      </c>
      <c r="L12" s="18">
        <f t="shared" si="7"/>
        <v>274.164879</v>
      </c>
      <c r="M12" s="13" t="s">
        <v>20</v>
      </c>
      <c r="N12" s="13">
        <f t="shared" si="8"/>
        <v>174.6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22.5" customHeight="1">
      <c r="A13" s="4" t="s">
        <v>44</v>
      </c>
      <c r="B13" s="4">
        <v>426.69</v>
      </c>
      <c r="C13" s="4">
        <v>0.0818857</v>
      </c>
      <c r="D13" s="5">
        <f t="shared" si="2"/>
        <v>34.93980933</v>
      </c>
      <c r="E13" s="6">
        <f>IFERROR(__xludf.DUMMYFUNCTION("GOOGLEFINANCE(A13)"),426.99)</f>
        <v>426.99</v>
      </c>
      <c r="F13" s="5">
        <f t="shared" si="3"/>
        <v>34.96437504</v>
      </c>
      <c r="G13" s="7">
        <f t="shared" si="4"/>
        <v>0.02456571</v>
      </c>
      <c r="H13" s="7">
        <f t="shared" si="5"/>
        <v>0.07</v>
      </c>
      <c r="I13" s="3"/>
      <c r="J13" s="11" t="s">
        <v>46</v>
      </c>
      <c r="K13" s="18">
        <f t="shared" si="6"/>
        <v>90.58826405</v>
      </c>
      <c r="L13" s="18">
        <f t="shared" si="7"/>
        <v>185.718219</v>
      </c>
      <c r="M13" s="13" t="s">
        <v>20</v>
      </c>
      <c r="N13" s="13">
        <f t="shared" si="8"/>
        <v>105.01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22.5" customHeight="1">
      <c r="A14" s="4" t="s">
        <v>44</v>
      </c>
      <c r="B14" s="4">
        <v>505.36</v>
      </c>
      <c r="C14" s="4">
        <v>0.3089666</v>
      </c>
      <c r="D14" s="5">
        <f t="shared" si="2"/>
        <v>156.139361</v>
      </c>
      <c r="E14" s="6">
        <f>IFERROR(__xludf.DUMMYFUNCTION("GOOGLEFINANCE(A14)"),426.99)</f>
        <v>426.99</v>
      </c>
      <c r="F14" s="5">
        <f t="shared" si="3"/>
        <v>131.9256485</v>
      </c>
      <c r="G14" s="7">
        <f t="shared" si="4"/>
        <v>-24.21371244</v>
      </c>
      <c r="H14" s="7">
        <f t="shared" si="5"/>
        <v>-15.51</v>
      </c>
      <c r="I14" s="3"/>
      <c r="J14" s="11" t="s">
        <v>47</v>
      </c>
      <c r="K14" s="18">
        <f t="shared" si="6"/>
        <v>49.999652</v>
      </c>
      <c r="L14" s="18">
        <f t="shared" si="7"/>
        <v>89.560488</v>
      </c>
      <c r="M14" s="13" t="s">
        <v>20</v>
      </c>
      <c r="N14" s="13">
        <f t="shared" si="8"/>
        <v>79.12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22.5" customHeight="1">
      <c r="A15" s="4" t="s">
        <v>48</v>
      </c>
      <c r="B15" s="4">
        <v>10.3</v>
      </c>
      <c r="C15" s="4">
        <v>3.0</v>
      </c>
      <c r="D15" s="5">
        <f t="shared" si="2"/>
        <v>30.9</v>
      </c>
      <c r="E15" s="6">
        <f>IFERROR(__xludf.DUMMYFUNCTION("GOOGLEFINANCE(A15)"),13.25)</f>
        <v>13.25</v>
      </c>
      <c r="F15" s="5">
        <f t="shared" si="3"/>
        <v>39.75</v>
      </c>
      <c r="G15" s="7">
        <f t="shared" si="4"/>
        <v>8.85</v>
      </c>
      <c r="H15" s="7">
        <f t="shared" si="5"/>
        <v>28.64</v>
      </c>
      <c r="I15" s="3"/>
      <c r="J15" s="11" t="s">
        <v>49</v>
      </c>
      <c r="K15" s="18">
        <f t="shared" si="6"/>
        <v>69.88992673</v>
      </c>
      <c r="L15" s="18">
        <f t="shared" si="7"/>
        <v>63.571692</v>
      </c>
      <c r="M15" s="13" t="s">
        <v>50</v>
      </c>
      <c r="N15" s="13">
        <f t="shared" si="8"/>
        <v>-9.04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22.5" customHeight="1">
      <c r="A16" s="4" t="s">
        <v>45</v>
      </c>
      <c r="B16" s="4">
        <v>597.82</v>
      </c>
      <c r="C16" s="4">
        <v>0.1670067</v>
      </c>
      <c r="D16" s="5">
        <f t="shared" si="2"/>
        <v>99.83994539</v>
      </c>
      <c r="E16" s="6">
        <f>IFERROR(__xludf.DUMMYFUNCTION("GOOGLEFINANCE(A16)"),1641.64)</f>
        <v>1641.64</v>
      </c>
      <c r="F16" s="5">
        <f t="shared" si="3"/>
        <v>274.164879</v>
      </c>
      <c r="G16" s="7">
        <f t="shared" si="4"/>
        <v>174.3249336</v>
      </c>
      <c r="H16" s="7">
        <f t="shared" si="5"/>
        <v>174.6</v>
      </c>
      <c r="I16" s="3"/>
      <c r="J16" s="11" t="s">
        <v>51</v>
      </c>
      <c r="K16" s="18">
        <f t="shared" si="6"/>
        <v>149.7553063</v>
      </c>
      <c r="L16" s="18">
        <f t="shared" si="7"/>
        <v>139.2391767</v>
      </c>
      <c r="M16" s="13" t="s">
        <v>40</v>
      </c>
      <c r="N16" s="13">
        <f t="shared" si="8"/>
        <v>-7.02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22.5" customHeight="1">
      <c r="A17" s="4" t="s">
        <v>46</v>
      </c>
      <c r="B17" s="4">
        <v>417.74</v>
      </c>
      <c r="C17" s="4">
        <v>0.1194978</v>
      </c>
      <c r="D17" s="5">
        <f t="shared" si="2"/>
        <v>49.91901097</v>
      </c>
      <c r="E17" s="6">
        <f>IFERROR(__xludf.DUMMYFUNCTION("GOOGLEFINANCE(A17)"),880.72)</f>
        <v>880.72</v>
      </c>
      <c r="F17" s="5">
        <f t="shared" si="3"/>
        <v>105.2441024</v>
      </c>
      <c r="G17" s="7">
        <f t="shared" si="4"/>
        <v>55.32509144</v>
      </c>
      <c r="H17" s="7">
        <f t="shared" si="5"/>
        <v>110.83</v>
      </c>
      <c r="I17" s="3"/>
      <c r="J17" s="11" t="s">
        <v>48</v>
      </c>
      <c r="K17" s="18">
        <f t="shared" si="6"/>
        <v>30.9</v>
      </c>
      <c r="L17" s="18">
        <f t="shared" si="7"/>
        <v>39.75</v>
      </c>
      <c r="M17" s="13" t="s">
        <v>28</v>
      </c>
      <c r="N17" s="13">
        <f t="shared" si="8"/>
        <v>28.64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22.5" customHeight="1">
      <c r="A18" s="4" t="s">
        <v>46</v>
      </c>
      <c r="B18" s="4">
        <v>445.09</v>
      </c>
      <c r="C18" s="4">
        <v>0.0913731</v>
      </c>
      <c r="D18" s="5">
        <f t="shared" si="2"/>
        <v>40.66925308</v>
      </c>
      <c r="E18" s="6">
        <f>IFERROR(__xludf.DUMMYFUNCTION("GOOGLEFINANCE(A18)"),880.72)</f>
        <v>880.72</v>
      </c>
      <c r="F18" s="5">
        <f t="shared" si="3"/>
        <v>80.47411663</v>
      </c>
      <c r="G18" s="7">
        <f t="shared" si="4"/>
        <v>39.80486355</v>
      </c>
      <c r="H18" s="7">
        <f t="shared" si="5"/>
        <v>97.87</v>
      </c>
      <c r="I18" s="3"/>
      <c r="J18" s="11" t="s">
        <v>52</v>
      </c>
      <c r="K18" s="18">
        <f t="shared" si="6"/>
        <v>99.83705664</v>
      </c>
      <c r="L18" s="18">
        <f t="shared" si="7"/>
        <v>133.496467</v>
      </c>
      <c r="M18" s="13" t="s">
        <v>42</v>
      </c>
      <c r="N18" s="13">
        <f t="shared" si="8"/>
        <v>33.71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22.5" customHeight="1">
      <c r="A19" s="4" t="s">
        <v>37</v>
      </c>
      <c r="B19" s="4">
        <v>268.15</v>
      </c>
      <c r="C19" s="4">
        <v>0.1116895</v>
      </c>
      <c r="D19" s="5">
        <f t="shared" si="2"/>
        <v>29.94953943</v>
      </c>
      <c r="E19" s="6">
        <f>IFERROR(__xludf.DUMMYFUNCTION("GOOGLEFINANCE(A19)"),312.51)</f>
        <v>312.51</v>
      </c>
      <c r="F19" s="5">
        <f t="shared" si="3"/>
        <v>34.90408565</v>
      </c>
      <c r="G19" s="7">
        <f t="shared" si="4"/>
        <v>4.95454622</v>
      </c>
      <c r="H19" s="7">
        <f t="shared" si="5"/>
        <v>16.54</v>
      </c>
      <c r="I19" s="3"/>
      <c r="J19" s="11" t="s">
        <v>53</v>
      </c>
      <c r="K19" s="18">
        <f t="shared" si="6"/>
        <v>89.75288486</v>
      </c>
      <c r="L19" s="18">
        <f t="shared" si="7"/>
        <v>98.33624566</v>
      </c>
      <c r="M19" s="13" t="s">
        <v>42</v>
      </c>
      <c r="N19" s="13">
        <f t="shared" si="8"/>
        <v>9.56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22.5" customHeight="1">
      <c r="A20" s="4" t="s">
        <v>49</v>
      </c>
      <c r="B20" s="4">
        <v>1094.99</v>
      </c>
      <c r="C20" s="4">
        <v>0.063827</v>
      </c>
      <c r="D20" s="5">
        <f t="shared" si="2"/>
        <v>69.88992673</v>
      </c>
      <c r="E20" s="6">
        <f>IFERROR(__xludf.DUMMYFUNCTION("GOOGLEFINANCE(A20)"),996.0)</f>
        <v>996</v>
      </c>
      <c r="F20" s="5">
        <f t="shared" si="3"/>
        <v>63.571692</v>
      </c>
      <c r="G20" s="7">
        <f t="shared" si="4"/>
        <v>-6.31823473</v>
      </c>
      <c r="H20" s="7">
        <f t="shared" si="5"/>
        <v>-9.04</v>
      </c>
      <c r="I20" s="3"/>
      <c r="J20" s="11" t="s">
        <v>54</v>
      </c>
      <c r="K20" s="18">
        <f t="shared" si="6"/>
        <v>43.129975</v>
      </c>
      <c r="L20" s="18">
        <f t="shared" si="7"/>
        <v>95.849425</v>
      </c>
      <c r="M20" s="13" t="s">
        <v>55</v>
      </c>
      <c r="N20" s="13">
        <f t="shared" si="8"/>
        <v>122.23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22.5" customHeight="1">
      <c r="A21" s="4" t="s">
        <v>38</v>
      </c>
      <c r="B21" s="4">
        <v>261.65</v>
      </c>
      <c r="C21" s="4">
        <v>0.1509986</v>
      </c>
      <c r="D21" s="5">
        <f t="shared" si="2"/>
        <v>39.50878369</v>
      </c>
      <c r="E21" s="6">
        <f>IFERROR(__xludf.DUMMYFUNCTION("GOOGLEFINANCE(A21)"),274.0)</f>
        <v>274</v>
      </c>
      <c r="F21" s="5">
        <f t="shared" si="3"/>
        <v>41.3736164</v>
      </c>
      <c r="G21" s="7">
        <f t="shared" si="4"/>
        <v>1.86483271</v>
      </c>
      <c r="H21" s="7">
        <f t="shared" si="5"/>
        <v>4.72</v>
      </c>
      <c r="I21" s="3"/>
      <c r="J21" s="11" t="s">
        <v>56</v>
      </c>
      <c r="K21" s="18">
        <f t="shared" si="6"/>
        <v>74.87965823</v>
      </c>
      <c r="L21" s="18">
        <f t="shared" si="7"/>
        <v>66.21007846</v>
      </c>
      <c r="M21" s="13" t="s">
        <v>20</v>
      </c>
      <c r="N21" s="13">
        <f t="shared" si="8"/>
        <v>-11.58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22.5" customHeight="1">
      <c r="A22" s="4" t="s">
        <v>47</v>
      </c>
      <c r="B22" s="4">
        <v>237.19</v>
      </c>
      <c r="C22" s="4">
        <v>0.2108</v>
      </c>
      <c r="D22" s="5">
        <f t="shared" si="2"/>
        <v>49.999652</v>
      </c>
      <c r="E22" s="6">
        <f>IFERROR(__xludf.DUMMYFUNCTION("GOOGLEFINANCE(A22)"),424.86)</f>
        <v>424.86</v>
      </c>
      <c r="F22" s="5">
        <f t="shared" si="3"/>
        <v>89.560488</v>
      </c>
      <c r="G22" s="7">
        <f t="shared" si="4"/>
        <v>39.560836</v>
      </c>
      <c r="H22" s="7">
        <f t="shared" si="5"/>
        <v>79.12</v>
      </c>
      <c r="I22" s="3"/>
      <c r="J22" s="11" t="s">
        <v>57</v>
      </c>
      <c r="K22" s="18">
        <f t="shared" si="6"/>
        <v>15.4485116</v>
      </c>
      <c r="L22" s="18">
        <f t="shared" si="7"/>
        <v>24.7001731</v>
      </c>
      <c r="M22" s="13" t="s">
        <v>55</v>
      </c>
      <c r="N22" s="13">
        <f t="shared" si="8"/>
        <v>59.89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22.5" customHeight="1">
      <c r="A23" s="4" t="s">
        <v>51</v>
      </c>
      <c r="B23" s="4">
        <v>127.88</v>
      </c>
      <c r="C23" s="4">
        <v>1.1710612</v>
      </c>
      <c r="D23" s="5">
        <f t="shared" si="2"/>
        <v>149.7553063</v>
      </c>
      <c r="E23" s="6">
        <f>IFERROR(__xludf.DUMMYFUNCTION("GOOGLEFINANCE(A23)"),118.9)</f>
        <v>118.9</v>
      </c>
      <c r="F23" s="5">
        <f t="shared" si="3"/>
        <v>139.2391767</v>
      </c>
      <c r="G23" s="7">
        <f t="shared" si="4"/>
        <v>-10.51612958</v>
      </c>
      <c r="H23" s="7">
        <f t="shared" si="5"/>
        <v>-7.02</v>
      </c>
      <c r="I23" s="3"/>
      <c r="J23" s="11" t="s">
        <v>58</v>
      </c>
      <c r="K23" s="18">
        <f t="shared" si="6"/>
        <v>44.92679304</v>
      </c>
      <c r="L23" s="18">
        <f t="shared" si="7"/>
        <v>56.29458458</v>
      </c>
      <c r="M23" s="13" t="s">
        <v>20</v>
      </c>
      <c r="N23" s="13">
        <f t="shared" si="8"/>
        <v>25.3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22.5" customHeight="1">
      <c r="A24" s="4" t="s">
        <v>59</v>
      </c>
      <c r="B24" s="4">
        <v>153.53</v>
      </c>
      <c r="C24" s="4">
        <v>0.9753937</v>
      </c>
      <c r="D24" s="5">
        <f t="shared" si="2"/>
        <v>149.7521948</v>
      </c>
      <c r="E24" s="6">
        <f>IFERROR(__xludf.DUMMYFUNCTION("GOOGLEFINANCE(A24)"),146.96)</f>
        <v>146.96</v>
      </c>
      <c r="F24" s="5">
        <f t="shared" si="3"/>
        <v>143.3438582</v>
      </c>
      <c r="G24" s="7">
        <f t="shared" si="4"/>
        <v>-6.408336609</v>
      </c>
      <c r="H24" s="7">
        <f t="shared" si="5"/>
        <v>-4.28</v>
      </c>
      <c r="I24" s="3"/>
      <c r="J24" s="11" t="s">
        <v>60</v>
      </c>
      <c r="K24" s="18">
        <f t="shared" si="6"/>
        <v>52.41669923</v>
      </c>
      <c r="L24" s="18">
        <f t="shared" si="7"/>
        <v>60.44733314</v>
      </c>
      <c r="M24" s="13" t="s">
        <v>20</v>
      </c>
      <c r="N24" s="13">
        <f t="shared" si="8"/>
        <v>15.32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22.5" customHeight="1">
      <c r="A25" s="4" t="s">
        <v>53</v>
      </c>
      <c r="B25" s="4">
        <v>124.12</v>
      </c>
      <c r="C25" s="4">
        <v>0.7231138</v>
      </c>
      <c r="D25" s="5">
        <f t="shared" si="2"/>
        <v>89.75288486</v>
      </c>
      <c r="E25" s="6">
        <f>IFERROR(__xludf.DUMMYFUNCTION("GOOGLEFINANCE(A25)"),135.99)</f>
        <v>135.99</v>
      </c>
      <c r="F25" s="5">
        <f t="shared" si="3"/>
        <v>98.33624566</v>
      </c>
      <c r="G25" s="7">
        <f t="shared" si="4"/>
        <v>8.583360806</v>
      </c>
      <c r="H25" s="7">
        <f t="shared" si="5"/>
        <v>9.56</v>
      </c>
      <c r="I25" s="3"/>
      <c r="J25" s="11" t="s">
        <v>61</v>
      </c>
      <c r="K25" s="18">
        <f t="shared" si="6"/>
        <v>30.08999977</v>
      </c>
      <c r="L25" s="18">
        <f t="shared" si="7"/>
        <v>34.79795892</v>
      </c>
      <c r="M25" s="13" t="s">
        <v>42</v>
      </c>
      <c r="N25" s="13">
        <f t="shared" si="8"/>
        <v>15.65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22.5" customHeight="1">
      <c r="A26" s="4" t="s">
        <v>52</v>
      </c>
      <c r="B26" s="4">
        <v>286.08</v>
      </c>
      <c r="C26" s="4">
        <v>0.348983</v>
      </c>
      <c r="D26" s="5">
        <f t="shared" si="2"/>
        <v>99.83705664</v>
      </c>
      <c r="E26" s="6">
        <f>IFERROR(__xludf.DUMMYFUNCTION("GOOGLEFINANCE(A26)"),382.53)</f>
        <v>382.53</v>
      </c>
      <c r="F26" s="5">
        <f t="shared" si="3"/>
        <v>133.496467</v>
      </c>
      <c r="G26" s="7">
        <f t="shared" si="4"/>
        <v>33.65941035</v>
      </c>
      <c r="H26" s="7">
        <f t="shared" si="5"/>
        <v>33.71</v>
      </c>
      <c r="I26" s="3"/>
      <c r="J26" s="11" t="s">
        <v>62</v>
      </c>
      <c r="K26" s="18">
        <f t="shared" si="6"/>
        <v>84.85907901</v>
      </c>
      <c r="L26" s="18">
        <f t="shared" si="7"/>
        <v>77.61719538</v>
      </c>
      <c r="M26" s="13" t="s">
        <v>20</v>
      </c>
      <c r="N26" s="13">
        <f t="shared" si="8"/>
        <v>-8.53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22.5" customHeight="1">
      <c r="A27" s="4" t="s">
        <v>54</v>
      </c>
      <c r="B27" s="4">
        <v>66.61</v>
      </c>
      <c r="C27" s="4">
        <v>0.6475</v>
      </c>
      <c r="D27" s="5">
        <f t="shared" si="2"/>
        <v>43.129975</v>
      </c>
      <c r="E27" s="6">
        <f>IFERROR(__xludf.DUMMYFUNCTION("GOOGLEFINANCE(A27)"),148.03)</f>
        <v>148.03</v>
      </c>
      <c r="F27" s="5">
        <f t="shared" si="3"/>
        <v>95.849425</v>
      </c>
      <c r="G27" s="7">
        <f t="shared" si="4"/>
        <v>52.71945</v>
      </c>
      <c r="H27" s="7">
        <f t="shared" si="5"/>
        <v>122.23</v>
      </c>
      <c r="I27" s="3"/>
      <c r="J27" s="11" t="s">
        <v>63</v>
      </c>
      <c r="K27" s="18">
        <f t="shared" si="6"/>
        <v>39.3791911</v>
      </c>
      <c r="L27" s="18">
        <f t="shared" si="7"/>
        <v>40.84898062</v>
      </c>
      <c r="M27" s="13" t="s">
        <v>20</v>
      </c>
      <c r="N27" s="13">
        <f t="shared" si="8"/>
        <v>3.73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22.5" customHeight="1">
      <c r="A28" s="4" t="s">
        <v>57</v>
      </c>
      <c r="B28" s="4">
        <v>83.24</v>
      </c>
      <c r="C28" s="4">
        <v>0.18559</v>
      </c>
      <c r="D28" s="5">
        <f t="shared" si="2"/>
        <v>15.4485116</v>
      </c>
      <c r="E28" s="6">
        <f>IFERROR(__xludf.DUMMYFUNCTION("GOOGLEFINANCE(A28)"),133.09)</f>
        <v>133.09</v>
      </c>
      <c r="F28" s="5">
        <f t="shared" si="3"/>
        <v>24.7001731</v>
      </c>
      <c r="G28" s="7">
        <f t="shared" si="4"/>
        <v>9.2516615</v>
      </c>
      <c r="H28" s="7">
        <f t="shared" si="5"/>
        <v>59.89</v>
      </c>
      <c r="I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22.5" customHeight="1">
      <c r="A29" s="4" t="s">
        <v>62</v>
      </c>
      <c r="B29" s="4">
        <v>184.79</v>
      </c>
      <c r="C29" s="4">
        <v>0.459219</v>
      </c>
      <c r="D29" s="5">
        <f t="shared" si="2"/>
        <v>84.85907901</v>
      </c>
      <c r="E29" s="6">
        <f>IFERROR(__xludf.DUMMYFUNCTION("GOOGLEFINANCE(A29)"),169.02)</f>
        <v>169.02</v>
      </c>
      <c r="F29" s="5">
        <f t="shared" si="3"/>
        <v>77.61719538</v>
      </c>
      <c r="G29" s="7">
        <f t="shared" si="4"/>
        <v>-7.24188363</v>
      </c>
      <c r="H29" s="7">
        <f t="shared" si="5"/>
        <v>-8.53</v>
      </c>
      <c r="I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22.5" customHeight="1">
      <c r="A30" s="4" t="s">
        <v>60</v>
      </c>
      <c r="B30" s="4">
        <v>13.25</v>
      </c>
      <c r="C30" s="4">
        <v>3.9559773</v>
      </c>
      <c r="D30" s="5">
        <f t="shared" si="2"/>
        <v>52.41669923</v>
      </c>
      <c r="E30" s="6">
        <f>IFERROR(__xludf.DUMMYFUNCTION("GOOGLEFINANCE(A30)"),15.28)</f>
        <v>15.28</v>
      </c>
      <c r="F30" s="5">
        <f t="shared" si="3"/>
        <v>60.44733314</v>
      </c>
      <c r="G30" s="7">
        <f t="shared" si="4"/>
        <v>8.030633919</v>
      </c>
      <c r="H30" s="7">
        <f t="shared" si="5"/>
        <v>15.32</v>
      </c>
      <c r="I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22.5" customHeight="1">
      <c r="A31" s="4" t="s">
        <v>56</v>
      </c>
      <c r="B31" s="4">
        <v>973.31</v>
      </c>
      <c r="C31" s="4">
        <v>0.076933</v>
      </c>
      <c r="D31" s="5">
        <f t="shared" si="2"/>
        <v>74.87965823</v>
      </c>
      <c r="E31" s="6">
        <f>IFERROR(__xludf.DUMMYFUNCTION("GOOGLEFINANCE(A31)"),860.62)</f>
        <v>860.62</v>
      </c>
      <c r="F31" s="5">
        <f t="shared" si="3"/>
        <v>66.21007846</v>
      </c>
      <c r="G31" s="7">
        <f t="shared" si="4"/>
        <v>-8.66957977</v>
      </c>
      <c r="H31" s="7">
        <f t="shared" si="5"/>
        <v>-11.58</v>
      </c>
      <c r="I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22.5" customHeight="1">
      <c r="A32" s="4" t="s">
        <v>58</v>
      </c>
      <c r="B32" s="4">
        <v>56.12</v>
      </c>
      <c r="C32" s="4">
        <v>0.8005487</v>
      </c>
      <c r="D32" s="5">
        <f t="shared" si="2"/>
        <v>44.92679304</v>
      </c>
      <c r="E32" s="6">
        <f>IFERROR(__xludf.DUMMYFUNCTION("GOOGLEFINANCE(A32)"),70.32)</f>
        <v>70.32</v>
      </c>
      <c r="F32" s="5">
        <f t="shared" si="3"/>
        <v>56.29458458</v>
      </c>
      <c r="G32" s="7">
        <f t="shared" si="4"/>
        <v>11.36779154</v>
      </c>
      <c r="H32" s="7">
        <f t="shared" si="5"/>
        <v>25.3</v>
      </c>
      <c r="I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22.5" customHeight="1">
      <c r="A33" s="4" t="s">
        <v>61</v>
      </c>
      <c r="B33" s="4">
        <v>2.94</v>
      </c>
      <c r="C33" s="4">
        <v>10.2346938</v>
      </c>
      <c r="D33" s="5">
        <f t="shared" si="2"/>
        <v>30.08999977</v>
      </c>
      <c r="E33" s="6">
        <f>IFERROR(__xludf.DUMMYFUNCTION("GOOGLEFINANCE(A33)"),3.4)</f>
        <v>3.4</v>
      </c>
      <c r="F33" s="5">
        <f t="shared" si="3"/>
        <v>34.79795892</v>
      </c>
      <c r="G33" s="7">
        <f t="shared" si="4"/>
        <v>4.707959148</v>
      </c>
      <c r="H33" s="7">
        <f t="shared" si="5"/>
        <v>15.65</v>
      </c>
      <c r="I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22.5" customHeight="1">
      <c r="A34" s="4" t="s">
        <v>63</v>
      </c>
      <c r="B34" s="4">
        <v>197.46</v>
      </c>
      <c r="C34" s="4">
        <v>0.1994287</v>
      </c>
      <c r="D34" s="5">
        <f t="shared" si="2"/>
        <v>39.3791911</v>
      </c>
      <c r="E34" s="6">
        <f>IFERROR(__xludf.DUMMYFUNCTION("GOOGLEFINANCE(A34)"),204.83)</f>
        <v>204.83</v>
      </c>
      <c r="F34" s="5">
        <f t="shared" si="3"/>
        <v>40.84898062</v>
      </c>
      <c r="G34" s="7">
        <f t="shared" si="4"/>
        <v>1.469789519</v>
      </c>
      <c r="H34" s="7">
        <f t="shared" si="5"/>
        <v>3.73</v>
      </c>
      <c r="I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/>
      <c r="B35" s="3"/>
      <c r="C35" s="3"/>
      <c r="D35" s="3"/>
      <c r="E35" s="3"/>
      <c r="F35" s="3"/>
      <c r="G35" s="3"/>
      <c r="H35" s="3"/>
      <c r="I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22.5" customHeight="1">
      <c r="A36" s="3"/>
      <c r="B36" s="3"/>
      <c r="C36" s="3"/>
      <c r="D36" s="3"/>
      <c r="E36" s="3"/>
      <c r="F36" s="3"/>
      <c r="G36" s="3"/>
      <c r="H36" s="3"/>
      <c r="I36" s="3"/>
      <c r="J36" s="1" t="s">
        <v>14</v>
      </c>
      <c r="K36" s="1" t="s">
        <v>3</v>
      </c>
      <c r="L36" s="1" t="s">
        <v>6</v>
      </c>
      <c r="M36" s="1" t="s">
        <v>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22.5" customHeight="1">
      <c r="A37" s="3"/>
      <c r="B37" s="3"/>
      <c r="C37" s="3"/>
      <c r="D37" s="3"/>
      <c r="E37" s="3"/>
      <c r="F37" s="3"/>
      <c r="G37" s="3"/>
      <c r="H37" s="3"/>
      <c r="I37" s="3"/>
      <c r="J37" s="14" t="s">
        <v>20</v>
      </c>
      <c r="K37" s="15">
        <f>SUMIF(USA_STOCK_SUMMARIZE[Sector],J37,USA_STOCK_SUMMARIZE[Cost])</f>
        <v>1109.385816</v>
      </c>
      <c r="L37" s="15">
        <f>SUMIF(USA_STOCK_SUMMARIZE[Sector],J37,USA_STOCK_SUMMARIZE[Current Value])</f>
        <v>1601.797997</v>
      </c>
      <c r="M37" s="15">
        <f t="shared" ref="M37:M43" si="9">ROUND((100*L37/K37),2)-100</f>
        <v>44.39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22.5" customHeight="1">
      <c r="A38" s="3"/>
      <c r="B38" s="3"/>
      <c r="C38" s="3"/>
      <c r="D38" s="3"/>
      <c r="E38" s="3"/>
      <c r="F38" s="3"/>
      <c r="G38" s="3"/>
      <c r="H38" s="3"/>
      <c r="I38" s="3"/>
      <c r="J38" s="14" t="s">
        <v>40</v>
      </c>
      <c r="K38" s="15">
        <f>SUMIF(USA_STOCK_SUMMARIZE[Sector],J38,USA_STOCK_SUMMARIZE[Cost])</f>
        <v>339.0227638</v>
      </c>
      <c r="L38" s="15">
        <f>SUMIF(USA_STOCK_SUMMARIZE[Sector],J38,USA_STOCK_SUMMARIZE[Current Value])</f>
        <v>357.2626207</v>
      </c>
      <c r="M38" s="15">
        <f t="shared" si="9"/>
        <v>5.38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22.5" customHeight="1">
      <c r="A39" s="3"/>
      <c r="B39" s="3"/>
      <c r="C39" s="3"/>
      <c r="D39" s="3"/>
      <c r="E39" s="3"/>
      <c r="F39" s="3"/>
      <c r="G39" s="3"/>
      <c r="H39" s="3"/>
      <c r="I39" s="3"/>
      <c r="J39" s="14" t="s">
        <v>42</v>
      </c>
      <c r="K39" s="15">
        <f>SUMIF(USA_STOCK_SUMMARIZE[Sector],J39,USA_STOCK_SUMMARIZE[Cost])</f>
        <v>269.6796205</v>
      </c>
      <c r="L39" s="15">
        <f>SUMIF(USA_STOCK_SUMMARIZE[Sector],J39,USA_STOCK_SUMMARIZE[Current Value])</f>
        <v>332.3440476</v>
      </c>
      <c r="M39" s="15">
        <f t="shared" si="9"/>
        <v>23.24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22.5" customHeight="1">
      <c r="A40" s="3"/>
      <c r="B40" s="3"/>
      <c r="C40" s="3"/>
      <c r="D40" s="3"/>
      <c r="E40" s="3"/>
      <c r="F40" s="3"/>
      <c r="G40" s="3"/>
      <c r="H40" s="3"/>
      <c r="I40" s="3"/>
      <c r="J40" s="14" t="s">
        <v>15</v>
      </c>
      <c r="K40" s="15">
        <f>SUMIF(USA_STOCK_SUMMARIZE[Sector],J40,USA_STOCK_SUMMARIZE[Cost])</f>
        <v>53.5429503</v>
      </c>
      <c r="L40" s="15">
        <f>SUMIF(USA_STOCK_SUMMARIZE[Sector],J40,USA_STOCK_SUMMARIZE[Current Value])</f>
        <v>52.8861879</v>
      </c>
      <c r="M40" s="15">
        <f t="shared" si="9"/>
        <v>-1.23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22.5" customHeight="1">
      <c r="A41" s="3"/>
      <c r="B41" s="3"/>
      <c r="C41" s="3"/>
      <c r="D41" s="3"/>
      <c r="E41" s="3"/>
      <c r="F41" s="3"/>
      <c r="G41" s="3"/>
      <c r="H41" s="3"/>
      <c r="I41" s="3"/>
      <c r="J41" s="14" t="s">
        <v>28</v>
      </c>
      <c r="K41" s="19">
        <f>SUMIF(USA_STOCK_SUMMARIZE[Sector],J41,USA_STOCK_SUMMARIZE[Cost])</f>
        <v>30.9</v>
      </c>
      <c r="L41" s="15">
        <f>SUMIF(USA_STOCK_SUMMARIZE[Sector],J41,USA_STOCK_SUMMARIZE[Current Value])</f>
        <v>39.75</v>
      </c>
      <c r="M41" s="15">
        <f t="shared" si="9"/>
        <v>28.64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22.5" customHeight="1">
      <c r="A42" s="3"/>
      <c r="B42" s="3"/>
      <c r="C42" s="3"/>
      <c r="D42" s="3"/>
      <c r="E42" s="3"/>
      <c r="F42" s="3"/>
      <c r="G42" s="3"/>
      <c r="H42" s="3"/>
      <c r="I42" s="3"/>
      <c r="J42" s="14" t="s">
        <v>55</v>
      </c>
      <c r="K42" s="19">
        <f>SUMIF(USA_STOCK_SUMMARIZE[Sector],J42,USA_STOCK_SUMMARIZE[Cost])</f>
        <v>58.5784866</v>
      </c>
      <c r="L42" s="15">
        <f>SUMIF(USA_STOCK_SUMMARIZE[Sector],J42,USA_STOCK_SUMMARIZE[Current Value])</f>
        <v>120.5495981</v>
      </c>
      <c r="M42" s="15">
        <f t="shared" si="9"/>
        <v>105.79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22.5" customHeight="1">
      <c r="A43" s="3"/>
      <c r="B43" s="3"/>
      <c r="C43" s="3"/>
      <c r="D43" s="3"/>
      <c r="E43" s="20"/>
      <c r="F43" s="3"/>
      <c r="G43" s="3"/>
      <c r="H43" s="3"/>
      <c r="I43" s="3"/>
      <c r="J43" s="14" t="s">
        <v>50</v>
      </c>
      <c r="K43" s="19">
        <f>SUMIF(USA_STOCK_SUMMARIZE[Sector],J43,USA_STOCK_SUMMARIZE[Cost])</f>
        <v>69.88992673</v>
      </c>
      <c r="L43" s="15">
        <f>SUMIF(USA_STOCK_SUMMARIZE[Sector],J43,USA_STOCK_SUMMARIZE[Current Value])</f>
        <v>63.571692</v>
      </c>
      <c r="M43" s="15">
        <f t="shared" si="9"/>
        <v>-9.04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I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I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>
      <c r="I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</sheetData>
  <customSheetViews>
    <customSheetView guid="{7196AE13-D616-4436-B3EB-31E99CD8A865}" filter="1" showAutoFilter="1">
      <autoFilter ref="$A$1:$H$34"/>
    </customSheetView>
  </customSheetViews>
  <dataValidations>
    <dataValidation type="custom" allowBlank="1" showDropDown="1" sqref="K6:L27">
      <formula1>AND(ISNUMBER(K6),(NOT(OR(NOT(ISERROR(DATEVALUE(K6))), AND(ISNUMBER(K6), LEFT(CELL("format", K6))="D")))))</formula1>
    </dataValidation>
  </dataValidation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75"/>
    <col customWidth="1" min="3" max="4" width="21.0"/>
    <col customWidth="1" min="5" max="6" width="19.0"/>
    <col customWidth="1" min="7" max="7" width="12.75"/>
    <col customWidth="1" min="8" max="8" width="14.5"/>
    <col customWidth="1" min="10" max="10" width="11.63"/>
    <col customWidth="1" min="11" max="11" width="14.25"/>
    <col customWidth="1" min="12" max="12" width="18.75"/>
    <col customWidth="1" min="13" max="13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6"/>
      <c r="J1" s="2" t="s">
        <v>8</v>
      </c>
      <c r="K1" s="2" t="s">
        <v>9</v>
      </c>
      <c r="L1" s="2" t="s">
        <v>10</v>
      </c>
      <c r="M1" s="2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22.5" customHeight="1">
      <c r="A2" s="4" t="s">
        <v>64</v>
      </c>
      <c r="B2" s="21">
        <v>234.18</v>
      </c>
      <c r="C2" s="21">
        <v>0.651732</v>
      </c>
      <c r="D2" s="22">
        <f t="shared" ref="D2:D11" si="2">B2*C2</f>
        <v>152.6225998</v>
      </c>
      <c r="E2" s="23">
        <f>IFERROR(__xludf.DUMMYFUNCTION("GOOGLEFINANCE(A2)"),302.85)</f>
        <v>302.85</v>
      </c>
      <c r="F2" s="22">
        <f t="shared" ref="F2:F11" si="3">C2*E2</f>
        <v>197.3770362</v>
      </c>
      <c r="G2" s="24">
        <f t="shared" ref="G2:G11" si="4">F2-D2</f>
        <v>44.75443644</v>
      </c>
      <c r="H2" s="24">
        <f t="shared" ref="H2:H11" si="5">ROUND(100*F2/D2,2)-100</f>
        <v>29.32</v>
      </c>
      <c r="I2" s="16"/>
      <c r="J2" s="8">
        <f>SUM(D:D)</f>
        <v>563.7054421</v>
      </c>
      <c r="K2" s="8">
        <f t="shared" ref="K2:L2" si="1">SUM(F:F)</f>
        <v>693.8447313</v>
      </c>
      <c r="L2" s="8">
        <f t="shared" si="1"/>
        <v>130.1392892</v>
      </c>
      <c r="M2" s="8">
        <f>ROUND(100*K2/J2,2)-100</f>
        <v>23.09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22.5" customHeight="1">
      <c r="A3" s="4" t="s">
        <v>65</v>
      </c>
      <c r="B3" s="25">
        <v>385.54</v>
      </c>
      <c r="C3" s="25">
        <v>0.12839</v>
      </c>
      <c r="D3" s="22">
        <f t="shared" si="2"/>
        <v>49.4994806</v>
      </c>
      <c r="E3" s="23">
        <f>IFERROR(__xludf.DUMMYFUNCTION("GOOGLEFINANCE(A3)"),599.83)</f>
        <v>599.83</v>
      </c>
      <c r="F3" s="22">
        <f t="shared" si="3"/>
        <v>77.0121737</v>
      </c>
      <c r="G3" s="24">
        <f t="shared" si="4"/>
        <v>27.5126931</v>
      </c>
      <c r="H3" s="24">
        <f t="shared" si="5"/>
        <v>55.58</v>
      </c>
      <c r="I3" s="9"/>
      <c r="J3" s="9"/>
      <c r="K3" s="9"/>
      <c r="L3" s="9"/>
      <c r="M3" s="9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2.5" customHeight="1">
      <c r="A4" s="4" t="s">
        <v>66</v>
      </c>
      <c r="B4" s="21">
        <v>609.72</v>
      </c>
      <c r="C4" s="21">
        <v>0.022</v>
      </c>
      <c r="D4" s="22">
        <f t="shared" si="2"/>
        <v>13.41384</v>
      </c>
      <c r="E4" s="23">
        <f>IFERROR(__xludf.DUMMYFUNCTION("GOOGLEFINANCE(A4)"),693.91)</f>
        <v>693.91</v>
      </c>
      <c r="F4" s="22">
        <f t="shared" si="3"/>
        <v>15.26602</v>
      </c>
      <c r="G4" s="24">
        <f t="shared" si="4"/>
        <v>1.85218</v>
      </c>
      <c r="H4" s="24">
        <f t="shared" si="5"/>
        <v>13.81</v>
      </c>
      <c r="I4" s="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22.5" customHeight="1">
      <c r="A5" s="4" t="s">
        <v>66</v>
      </c>
      <c r="B5" s="21">
        <v>613.41</v>
      </c>
      <c r="C5" s="21">
        <v>0.01829</v>
      </c>
      <c r="D5" s="22">
        <f t="shared" si="2"/>
        <v>11.2192689</v>
      </c>
      <c r="E5" s="23">
        <f>IFERROR(__xludf.DUMMYFUNCTION("GOOGLEFINANCE(A5)"),693.91)</f>
        <v>693.91</v>
      </c>
      <c r="F5" s="22">
        <f t="shared" si="3"/>
        <v>12.6916139</v>
      </c>
      <c r="G5" s="24">
        <f t="shared" si="4"/>
        <v>1.472345</v>
      </c>
      <c r="H5" s="24">
        <f t="shared" si="5"/>
        <v>13.12</v>
      </c>
      <c r="I5" s="9"/>
      <c r="J5" s="1" t="s">
        <v>0</v>
      </c>
      <c r="K5" s="1" t="s">
        <v>3</v>
      </c>
      <c r="L5" s="1" t="s">
        <v>5</v>
      </c>
      <c r="M5" s="1" t="s">
        <v>14</v>
      </c>
      <c r="N5" s="10" t="s">
        <v>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22.5" customHeight="1">
      <c r="A6" s="4" t="s">
        <v>66</v>
      </c>
      <c r="B6" s="21">
        <v>622.08</v>
      </c>
      <c r="C6" s="21">
        <v>0.08841</v>
      </c>
      <c r="D6" s="22">
        <f t="shared" si="2"/>
        <v>54.9980928</v>
      </c>
      <c r="E6" s="23">
        <f>IFERROR(__xludf.DUMMYFUNCTION("GOOGLEFINANCE(A6)"),693.91)</f>
        <v>693.91</v>
      </c>
      <c r="F6" s="22">
        <f t="shared" si="3"/>
        <v>61.3485831</v>
      </c>
      <c r="G6" s="24">
        <f t="shared" si="4"/>
        <v>6.3504903</v>
      </c>
      <c r="H6" s="24">
        <f t="shared" si="5"/>
        <v>11.55</v>
      </c>
      <c r="I6" s="9"/>
      <c r="J6" s="11" t="s">
        <v>64</v>
      </c>
      <c r="K6" s="18">
        <f t="shared" ref="K6:K8" si="6">SUMIF(A:A,J6,D:D)</f>
        <v>203.36099</v>
      </c>
      <c r="L6" s="18">
        <f t="shared" ref="L6:L8" si="7">SUMIF(A:A,J6,F:F)</f>
        <v>258.2739628</v>
      </c>
      <c r="M6" s="26" t="s">
        <v>20</v>
      </c>
      <c r="N6" s="13">
        <f t="shared" ref="N6:N8" si="8">ROUND((100*L6/K6),2)-100</f>
        <v>27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22.5" customHeight="1">
      <c r="A7" s="4" t="s">
        <v>66</v>
      </c>
      <c r="B7" s="21">
        <v>627.61</v>
      </c>
      <c r="C7" s="21">
        <v>0.07648</v>
      </c>
      <c r="D7" s="22">
        <f t="shared" si="2"/>
        <v>47.9996128</v>
      </c>
      <c r="E7" s="23">
        <f>IFERROR(__xludf.DUMMYFUNCTION("GOOGLEFINANCE(A7)"),693.91)</f>
        <v>693.91</v>
      </c>
      <c r="F7" s="22">
        <f t="shared" si="3"/>
        <v>53.0702368</v>
      </c>
      <c r="G7" s="24">
        <f t="shared" si="4"/>
        <v>5.070624</v>
      </c>
      <c r="H7" s="24">
        <f t="shared" si="5"/>
        <v>10.56</v>
      </c>
      <c r="I7" s="9"/>
      <c r="J7" s="11" t="s">
        <v>66</v>
      </c>
      <c r="K7" s="18">
        <f t="shared" si="6"/>
        <v>270.6229715</v>
      </c>
      <c r="L7" s="18">
        <f t="shared" si="7"/>
        <v>298.5755948</v>
      </c>
      <c r="M7" s="26" t="s">
        <v>22</v>
      </c>
      <c r="N7" s="13">
        <f t="shared" si="8"/>
        <v>10.33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22.5" customHeight="1">
      <c r="A8" s="4" t="s">
        <v>64</v>
      </c>
      <c r="B8" s="21">
        <v>252.33</v>
      </c>
      <c r="C8" s="21">
        <v>0.2010795</v>
      </c>
      <c r="D8" s="22">
        <f t="shared" si="2"/>
        <v>50.73839024</v>
      </c>
      <c r="E8" s="23">
        <f>IFERROR(__xludf.DUMMYFUNCTION("GOOGLEFINANCE(A8)"),302.85)</f>
        <v>302.85</v>
      </c>
      <c r="F8" s="22">
        <f t="shared" si="3"/>
        <v>60.89692658</v>
      </c>
      <c r="G8" s="24">
        <f t="shared" si="4"/>
        <v>10.15853634</v>
      </c>
      <c r="H8" s="24">
        <f t="shared" si="5"/>
        <v>20.02</v>
      </c>
      <c r="I8" s="9"/>
      <c r="J8" s="11" t="s">
        <v>65</v>
      </c>
      <c r="K8" s="18">
        <f t="shared" si="6"/>
        <v>89.7214806</v>
      </c>
      <c r="L8" s="18">
        <f t="shared" si="7"/>
        <v>136.9951737</v>
      </c>
      <c r="M8" s="26" t="s">
        <v>20</v>
      </c>
      <c r="N8" s="13">
        <f t="shared" si="8"/>
        <v>52.69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22.5" customHeight="1">
      <c r="A9" s="4" t="s">
        <v>65</v>
      </c>
      <c r="B9" s="25">
        <v>402.22</v>
      </c>
      <c r="C9" s="25">
        <v>0.1</v>
      </c>
      <c r="D9" s="22">
        <f t="shared" si="2"/>
        <v>40.222</v>
      </c>
      <c r="E9" s="23">
        <f>IFERROR(__xludf.DUMMYFUNCTION("GOOGLEFINANCE(A9)"),599.83)</f>
        <v>599.83</v>
      </c>
      <c r="F9" s="22">
        <f t="shared" si="3"/>
        <v>59.983</v>
      </c>
      <c r="G9" s="24">
        <f t="shared" si="4"/>
        <v>19.761</v>
      </c>
      <c r="H9" s="24">
        <f t="shared" si="5"/>
        <v>49.13</v>
      </c>
      <c r="I9" s="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22.5" customHeight="1">
      <c r="A10" s="4" t="s">
        <v>66</v>
      </c>
      <c r="B10" s="21">
        <v>633.32</v>
      </c>
      <c r="C10" s="21">
        <v>0.15</v>
      </c>
      <c r="D10" s="22">
        <f t="shared" si="2"/>
        <v>94.998</v>
      </c>
      <c r="E10" s="23">
        <f>IFERROR(__xludf.DUMMYFUNCTION("GOOGLEFINANCE(A10)"),693.91)</f>
        <v>693.91</v>
      </c>
      <c r="F10" s="22">
        <f t="shared" si="3"/>
        <v>104.0865</v>
      </c>
      <c r="G10" s="24">
        <f t="shared" si="4"/>
        <v>9.0885</v>
      </c>
      <c r="H10" s="24">
        <f t="shared" si="5"/>
        <v>9.57</v>
      </c>
      <c r="I10" s="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22.5" customHeight="1">
      <c r="A11" s="4" t="s">
        <v>66</v>
      </c>
      <c r="B11" s="21">
        <v>639.07</v>
      </c>
      <c r="C11" s="21">
        <v>0.0751</v>
      </c>
      <c r="D11" s="22">
        <f t="shared" si="2"/>
        <v>47.994157</v>
      </c>
      <c r="E11" s="23">
        <f>IFERROR(__xludf.DUMMYFUNCTION("GOOGLEFINANCE(A11)"),693.91)</f>
        <v>693.91</v>
      </c>
      <c r="F11" s="22">
        <f t="shared" si="3"/>
        <v>52.112641</v>
      </c>
      <c r="G11" s="24">
        <f t="shared" si="4"/>
        <v>4.118484</v>
      </c>
      <c r="H11" s="24">
        <f t="shared" si="5"/>
        <v>8.58</v>
      </c>
      <c r="I11" s="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22.5" customHeight="1">
      <c r="A12" s="3"/>
      <c r="B12" s="3"/>
      <c r="C12" s="3"/>
      <c r="D12" s="3"/>
      <c r="E12" s="3"/>
      <c r="F12" s="3"/>
      <c r="G12" s="3"/>
      <c r="H12" s="3"/>
      <c r="I12" s="9"/>
      <c r="J12" s="1" t="s">
        <v>14</v>
      </c>
      <c r="K12" s="1" t="s">
        <v>3</v>
      </c>
      <c r="L12" s="1" t="s">
        <v>6</v>
      </c>
      <c r="M12" s="1" t="s">
        <v>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22.5" customHeight="1">
      <c r="A13" s="3"/>
      <c r="B13" s="3"/>
      <c r="C13" s="3"/>
      <c r="D13" s="3"/>
      <c r="E13" s="3"/>
      <c r="F13" s="3"/>
      <c r="G13" s="3"/>
      <c r="H13" s="3"/>
      <c r="I13" s="3"/>
      <c r="J13" s="14" t="s">
        <v>20</v>
      </c>
      <c r="K13" s="15">
        <f>SUMIF(ETF_SUMMARIZE[Sector],J13,ETF_SUMMARIZE[Cost])</f>
        <v>293.0824706</v>
      </c>
      <c r="L13" s="15">
        <f>SUMIF(ETF_SUMMARIZE[Sector],J13,ETF_SUMMARIZE[Current Value])</f>
        <v>395.2691365</v>
      </c>
      <c r="M13" s="15">
        <f t="shared" ref="M13:M14" si="9">ROUND((100*L13/K13),2)-100</f>
        <v>34.87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22.5" customHeight="1">
      <c r="A14" s="3"/>
      <c r="B14" s="3"/>
      <c r="C14" s="3"/>
      <c r="D14" s="3"/>
      <c r="E14" s="3"/>
      <c r="F14" s="3"/>
      <c r="G14" s="3"/>
      <c r="H14" s="3"/>
      <c r="I14" s="3"/>
      <c r="J14" s="14" t="s">
        <v>22</v>
      </c>
      <c r="K14" s="15">
        <f>SUMIF(ETF_SUMMARIZE[Sector],J14,ETF_SUMMARIZE[Cost])</f>
        <v>270.6229715</v>
      </c>
      <c r="L14" s="15">
        <f>SUMIF(ETF_SUMMARIZE[Sector],J14,ETF_SUMMARIZE[Current Value])</f>
        <v>298.5755948</v>
      </c>
      <c r="M14" s="15">
        <f t="shared" si="9"/>
        <v>10.33</v>
      </c>
      <c r="N14" s="3"/>
      <c r="O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I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I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I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I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I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I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</sheetData>
  <customSheetViews>
    <customSheetView guid="{7196AE13-D616-4436-B3EB-31E99CD8A865}" filter="1" showAutoFilter="1">
      <autoFilter ref="$A$1:$H$11"/>
    </customSheetView>
  </customSheetViews>
  <dataValidations>
    <dataValidation type="custom" allowBlank="1" showDropDown="1" sqref="K6:L8 B2:H11">
      <formula1>AND(ISNUMBER(B2),(NOT(OR(NOT(ISERROR(DATEVALUE(B2))), AND(ISNUMBER(B2), LEFT(CELL("format", B2))="D")))))</formula1>
    </dataValidation>
    <dataValidation allowBlank="1" showDropDown="1" sqref="M6:M8"/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3" width="19.75"/>
    <col customWidth="1" min="4" max="4" width="16.88"/>
    <col customWidth="1" min="5" max="5" width="21.0"/>
    <col customWidth="1" min="6" max="6" width="22.25"/>
    <col customWidth="1" min="7" max="7" width="19.0"/>
  </cols>
  <sheetData>
    <row r="1" ht="22.5" customHeight="1">
      <c r="A1" s="27" t="s">
        <v>0</v>
      </c>
      <c r="B1" s="28" t="s">
        <v>67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6"/>
      <c r="K1" s="2" t="s">
        <v>8</v>
      </c>
      <c r="L1" s="2" t="s">
        <v>9</v>
      </c>
      <c r="M1" s="2" t="s">
        <v>10</v>
      </c>
      <c r="N1" s="2" t="s">
        <v>11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22.5" customHeight="1">
      <c r="A2" s="29" t="s">
        <v>68</v>
      </c>
      <c r="B2" s="30" t="s">
        <v>69</v>
      </c>
      <c r="C2" s="30">
        <v>2836.48</v>
      </c>
      <c r="D2" s="4">
        <f>0.00175922+0.70157378</f>
        <v>0.703333</v>
      </c>
      <c r="E2" s="5">
        <f t="shared" ref="E2:E7" si="2">C2*D2</f>
        <v>1994.989988</v>
      </c>
      <c r="F2" s="6" t="str">
        <f>IFERROR(__xludf.DUMMYFUNCTION("VALUE(REGEXEXTRACT(
  IMPORTDATA(""https://api.coingecko.com/api/v3/simple/price?ids=solana&amp;vs_currencies=thb""),
  ""[0-9.]+""
))*M14"),"Loading...")</f>
        <v>Loading...</v>
      </c>
      <c r="G2" s="5" t="str">
        <f t="shared" ref="G2:G7" si="3">D2*F2</f>
        <v>Loading...</v>
      </c>
      <c r="H2" s="7" t="str">
        <f t="shared" ref="H2:H7" si="4">G2-E2</f>
        <v>Loading...</v>
      </c>
      <c r="I2" s="7" t="str">
        <f t="shared" ref="I2:I7" si="5">ROUND((100*G2)/E2,2)-100</f>
        <v>Loading...</v>
      </c>
      <c r="J2" s="16"/>
      <c r="K2" s="8">
        <f>SUM(E:E)</f>
        <v>7979.972928</v>
      </c>
      <c r="L2" s="8" t="str">
        <f t="shared" ref="L2:M2" si="1">SUM(G:G)</f>
        <v>Loading...</v>
      </c>
      <c r="M2" s="8" t="str">
        <f t="shared" si="1"/>
        <v>Loading...</v>
      </c>
      <c r="N2" s="8" t="str">
        <f>ROUND(100*L2/K2,2)-100</f>
        <v>Loading...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22.5" customHeight="1">
      <c r="A3" s="29" t="s">
        <v>70</v>
      </c>
      <c r="B3" s="30" t="s">
        <v>69</v>
      </c>
      <c r="C3" s="30">
        <v>2289650.0</v>
      </c>
      <c r="D3" s="31">
        <v>4.3565E-4</v>
      </c>
      <c r="E3" s="5">
        <f t="shared" si="2"/>
        <v>997.4860225</v>
      </c>
      <c r="F3" s="6">
        <f>IFERROR(__xludf.DUMMYFUNCTION("GOOGLEFINANCE(A3)"),2390689.316)</f>
        <v>2390689.316</v>
      </c>
      <c r="G3" s="5">
        <f t="shared" si="3"/>
        <v>1041.503801</v>
      </c>
      <c r="H3" s="7">
        <f t="shared" si="4"/>
        <v>44.01777802</v>
      </c>
      <c r="I3" s="7">
        <f t="shared" si="5"/>
        <v>4.41</v>
      </c>
      <c r="J3" s="16"/>
      <c r="K3" s="9"/>
      <c r="L3" s="9"/>
      <c r="M3" s="9"/>
      <c r="N3" s="9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22.5" customHeight="1">
      <c r="A4" s="29" t="s">
        <v>70</v>
      </c>
      <c r="B4" s="30" t="s">
        <v>69</v>
      </c>
      <c r="C4" s="30">
        <v>2787022.53</v>
      </c>
      <c r="D4" s="31">
        <v>7.1581E-4</v>
      </c>
      <c r="E4" s="5">
        <f t="shared" si="2"/>
        <v>1994.978597</v>
      </c>
      <c r="F4" s="6">
        <f>IFERROR(__xludf.DUMMYFUNCTION("GOOGLEFINANCE(A4)"),2390689.316)</f>
        <v>2390689.316</v>
      </c>
      <c r="G4" s="5">
        <f t="shared" si="3"/>
        <v>1711.279319</v>
      </c>
      <c r="H4" s="7">
        <f t="shared" si="4"/>
        <v>-283.6992779</v>
      </c>
      <c r="I4" s="7">
        <f t="shared" si="5"/>
        <v>-14.22</v>
      </c>
      <c r="J4" s="16"/>
      <c r="K4" s="9"/>
      <c r="L4" s="9"/>
      <c r="M4" s="9"/>
      <c r="N4" s="9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2.5" customHeight="1">
      <c r="A5" s="29" t="s">
        <v>70</v>
      </c>
      <c r="B5" s="30" t="s">
        <v>69</v>
      </c>
      <c r="C5" s="30">
        <v>3681286.04</v>
      </c>
      <c r="D5" s="31">
        <v>2.7164E-4</v>
      </c>
      <c r="E5" s="5">
        <f t="shared" si="2"/>
        <v>999.9845399</v>
      </c>
      <c r="F5" s="6">
        <f>IFERROR(__xludf.DUMMYFUNCTION("GOOGLEFINANCE(A5)"),2390689.316)</f>
        <v>2390689.316</v>
      </c>
      <c r="G5" s="5">
        <f t="shared" si="3"/>
        <v>649.4068458</v>
      </c>
      <c r="H5" s="7">
        <f t="shared" si="4"/>
        <v>-350.5776941</v>
      </c>
      <c r="I5" s="7">
        <f t="shared" si="5"/>
        <v>-35.06</v>
      </c>
      <c r="J5" s="9"/>
      <c r="K5" s="32" t="s">
        <v>0</v>
      </c>
      <c r="L5" s="32" t="s">
        <v>3</v>
      </c>
      <c r="M5" s="32" t="s">
        <v>5</v>
      </c>
      <c r="N5" s="32" t="s">
        <v>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22.5" customHeight="1">
      <c r="A6" s="29" t="s">
        <v>70</v>
      </c>
      <c r="B6" s="30" t="s">
        <v>69</v>
      </c>
      <c r="C6" s="30">
        <v>3701800.92</v>
      </c>
      <c r="D6" s="4">
        <v>2.1464E-4</v>
      </c>
      <c r="E6" s="5">
        <f t="shared" si="2"/>
        <v>794.5545495</v>
      </c>
      <c r="F6" s="6">
        <f>IFERROR(__xludf.DUMMYFUNCTION("GOOGLEFINANCE(A6)"),2390689.316)</f>
        <v>2390689.316</v>
      </c>
      <c r="G6" s="5">
        <f t="shared" si="3"/>
        <v>513.1375548</v>
      </c>
      <c r="H6" s="7">
        <f t="shared" si="4"/>
        <v>-281.4169947</v>
      </c>
      <c r="I6" s="7">
        <f t="shared" si="5"/>
        <v>-35.42</v>
      </c>
      <c r="J6" s="9"/>
      <c r="K6" s="32" t="s">
        <v>70</v>
      </c>
      <c r="L6" s="33">
        <f t="shared" ref="L6:L8" si="6">SUMIF(A:A,K6,E:E)</f>
        <v>4787.003709</v>
      </c>
      <c r="M6" s="33">
        <f t="shared" ref="M6:M8" si="7">SUMIF(A:A,K6,G:G)</f>
        <v>3915.32752</v>
      </c>
      <c r="N6" s="34">
        <f t="shared" ref="N6:N8" si="8">ROUND((100*M6/L6),2)-100</f>
        <v>-18.21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22.5" customHeight="1">
      <c r="A7" s="29" t="s">
        <v>71</v>
      </c>
      <c r="B7" s="30" t="s">
        <v>69</v>
      </c>
      <c r="C7" s="30">
        <v>142510.71</v>
      </c>
      <c r="D7" s="4">
        <v>0.00840624</v>
      </c>
      <c r="E7" s="5">
        <f t="shared" si="2"/>
        <v>1197.979231</v>
      </c>
      <c r="F7" s="6">
        <f>IFERROR(__xludf.DUMMYFUNCTION("GOOGLEFINANCE(A7)"),65304.863020000004)</f>
        <v>65304.86302</v>
      </c>
      <c r="G7" s="5">
        <f t="shared" si="3"/>
        <v>548.9683517</v>
      </c>
      <c r="H7" s="7">
        <f t="shared" si="4"/>
        <v>-649.0108791</v>
      </c>
      <c r="I7" s="7">
        <f t="shared" si="5"/>
        <v>-54.18</v>
      </c>
      <c r="J7" s="9"/>
      <c r="K7" s="32" t="s">
        <v>71</v>
      </c>
      <c r="L7" s="33">
        <f t="shared" si="6"/>
        <v>1197.979231</v>
      </c>
      <c r="M7" s="33">
        <f t="shared" si="7"/>
        <v>548.9683517</v>
      </c>
      <c r="N7" s="34">
        <f t="shared" si="8"/>
        <v>-54.18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35"/>
      <c r="B8" s="3"/>
      <c r="C8" s="3"/>
      <c r="D8" s="3"/>
      <c r="E8" s="3"/>
      <c r="F8" s="3"/>
      <c r="G8" s="3"/>
      <c r="H8" s="3"/>
      <c r="I8" s="3"/>
      <c r="J8" s="9"/>
      <c r="K8" s="32" t="s">
        <v>68</v>
      </c>
      <c r="L8" s="33">
        <f t="shared" si="6"/>
        <v>1994.989988</v>
      </c>
      <c r="M8" s="33" t="str">
        <f t="shared" si="7"/>
        <v>Loading...</v>
      </c>
      <c r="N8" s="34" t="str">
        <f t="shared" si="8"/>
        <v>Loading...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35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3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35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35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35"/>
      <c r="B13" s="3"/>
      <c r="C13" s="3"/>
      <c r="D13" s="3"/>
      <c r="E13" s="3"/>
      <c r="F13" s="3"/>
      <c r="G13" s="3"/>
      <c r="H13" s="3"/>
      <c r="I13" s="3"/>
      <c r="J13" s="3"/>
      <c r="K13" s="36" t="s">
        <v>72</v>
      </c>
      <c r="L13" s="36" t="s">
        <v>73</v>
      </c>
      <c r="M13" s="36" t="s">
        <v>74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35"/>
      <c r="B14" s="3"/>
      <c r="C14" s="3"/>
      <c r="D14" s="3"/>
      <c r="E14" s="3"/>
      <c r="F14" s="3"/>
      <c r="G14" s="3"/>
      <c r="H14" s="3"/>
      <c r="I14" s="3"/>
      <c r="J14" s="3"/>
      <c r="K14" s="37" t="s">
        <v>75</v>
      </c>
      <c r="L14" s="37" t="s">
        <v>69</v>
      </c>
      <c r="M14" s="38">
        <f>IFERROR(__xludf.DUMMYFUNCTION("GOOGLEFINANCE(""CURRENCY:""&amp;K14&amp;L14)
"),32.564)</f>
        <v>32.564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35"/>
      <c r="B15" s="3"/>
      <c r="C15" s="3"/>
      <c r="D15" s="3"/>
      <c r="E15" s="3"/>
      <c r="F15" s="3"/>
      <c r="G15" s="3"/>
      <c r="H15" s="3"/>
      <c r="I15" s="3"/>
      <c r="J15" s="3"/>
      <c r="K15" s="37" t="s">
        <v>69</v>
      </c>
      <c r="L15" s="37" t="s">
        <v>75</v>
      </c>
      <c r="M15" s="38">
        <f>IFERROR(__xludf.DUMMYFUNCTION("GOOGLEFINANCE(""CURRENCY:""&amp;K15&amp;L15)
"),0.03070782)</f>
        <v>0.03070782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3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3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3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3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3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3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3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3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3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3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35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3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3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3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3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3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3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3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3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3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5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5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5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5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5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5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5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5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5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5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5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5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5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5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5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5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5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5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5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5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5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5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5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5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5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5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5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5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5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5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5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5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5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5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5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5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5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5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5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5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5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5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5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5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5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5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5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5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5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5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5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5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5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5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5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5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5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5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5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5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5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5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5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5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5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5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5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5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5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5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5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5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5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5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5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5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5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5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5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5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5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5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5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5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5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5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5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5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5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5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5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5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5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5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5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5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5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5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5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5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5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5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5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5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5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5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5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5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5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5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5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5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5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5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5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5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5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5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5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5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5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5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5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5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5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5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5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5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5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5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5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5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5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5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5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5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5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5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5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5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5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5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5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5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5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5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5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5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5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5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5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5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5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5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5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5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5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5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5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5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5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5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5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5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5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5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5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5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5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5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5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5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5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5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5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5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5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5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5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5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5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5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5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5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5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5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5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5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5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5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5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5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5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5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5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5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5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5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5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5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5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5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5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5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5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5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5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5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5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5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5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5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5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5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5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5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5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5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5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5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5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5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5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5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5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5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5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5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5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5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5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5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5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5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5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5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5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5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5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5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5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5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5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5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5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5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5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5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5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5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5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5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5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5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5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5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5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5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5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5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5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5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5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5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5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5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5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5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5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5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5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5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5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5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5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5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5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5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5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5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5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5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5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5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5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5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5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5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5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5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5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5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5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5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5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5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5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5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5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5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5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5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5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5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5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5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5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5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5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5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5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5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5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5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5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5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5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5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5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5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5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5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5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5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5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5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5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5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5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5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5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5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5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5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5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5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5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5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5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5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5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5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5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5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5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5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5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5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5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5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5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5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5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5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5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5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5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5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5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5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5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5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5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5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5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5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5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5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5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5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5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5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5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5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5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5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5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5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5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5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5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5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5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5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5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5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5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5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5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5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5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5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5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5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5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5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5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5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5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5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5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5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5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5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5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5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5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5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5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5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5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5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5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5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5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5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5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5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5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5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5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5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5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5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5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5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5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5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5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5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5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5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5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5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5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5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5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5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5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5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5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5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5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5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5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5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5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5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5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5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5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5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5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5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5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5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5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5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5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5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5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5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5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5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5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5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5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5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5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5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5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5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5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5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5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5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5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5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5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5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5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5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5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5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5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5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5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5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5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5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5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5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5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5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5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5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5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5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5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5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5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5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5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5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5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5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5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5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5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5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5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5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5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5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5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5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5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5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5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5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5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5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5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5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5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5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5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5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5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5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5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5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5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5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5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5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5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5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5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5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5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5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5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5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5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5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5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5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5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5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5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5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5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5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5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5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5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5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5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5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5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5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5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5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5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5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5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5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5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5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5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5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5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5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5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5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5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5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5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5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5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5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5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5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5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5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5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5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5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5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5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5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5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5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5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5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5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5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5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5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5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5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5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5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5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5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5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5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5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5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5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5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5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5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5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5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5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5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5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5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5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5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5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5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5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5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5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5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5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5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5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5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5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5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5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5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5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5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5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5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5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5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</sheetData>
  <dataValidations>
    <dataValidation type="custom" allowBlank="1" showDropDown="1" sqref="C2:C7">
      <formula1>AND(ISNUMBER(C2),(NOT(OR(NOT(ISERROR(DATEVALUE(C2))), AND(ISNUMBER(C2), LEFT(CELL("format", C2))="D")))))</formula1>
    </dataValidation>
    <dataValidation allowBlank="1" showDropDown="1" sqref="A2:A7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38"/>
    <col customWidth="1" min="3" max="3" width="16.5"/>
    <col customWidth="1" min="6" max="6" width="18.38"/>
    <col customWidth="1" min="7" max="7" width="15.5"/>
  </cols>
  <sheetData>
    <row r="1" ht="22.5" customHeight="1">
      <c r="A1" s="1" t="s">
        <v>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16"/>
    </row>
    <row r="2" ht="22.5" customHeight="1">
      <c r="A2" s="4" t="s">
        <v>77</v>
      </c>
      <c r="B2" s="4" t="s">
        <v>77</v>
      </c>
      <c r="C2" s="30">
        <v>68426.28</v>
      </c>
      <c r="D2" s="4">
        <v>1.0</v>
      </c>
      <c r="E2" s="5">
        <f t="shared" ref="E2:E9" si="2">C2*D2</f>
        <v>68426.28</v>
      </c>
      <c r="F2" s="30">
        <v>69527.77</v>
      </c>
      <c r="G2" s="5">
        <f t="shared" ref="G2:G9" si="3">D2*F2</f>
        <v>69527.77</v>
      </c>
      <c r="H2" s="7">
        <f t="shared" ref="H2:H9" si="4">G2-E2</f>
        <v>1101.49</v>
      </c>
      <c r="I2" s="7">
        <f t="shared" ref="I2:I9" si="5">ROUND((100*G2)/E2,2)-100</f>
        <v>1.61</v>
      </c>
      <c r="K2" s="8">
        <f>SUM(E:E)</f>
        <v>578426.31</v>
      </c>
      <c r="L2" s="8">
        <f t="shared" ref="L2:M2" si="1">SUM(G:G)</f>
        <v>579527.8</v>
      </c>
      <c r="M2" s="8">
        <f t="shared" si="1"/>
        <v>1101.49</v>
      </c>
      <c r="N2" s="8">
        <f>ROUND(100*L2/K2,2)-100</f>
        <v>0.19</v>
      </c>
      <c r="O2" s="16"/>
    </row>
    <row r="3" ht="22.5" customHeight="1">
      <c r="A3" s="4" t="s">
        <v>78</v>
      </c>
      <c r="B3" s="4" t="s">
        <v>79</v>
      </c>
      <c r="C3" s="31">
        <v>300000.03</v>
      </c>
      <c r="D3" s="4">
        <v>1.0</v>
      </c>
      <c r="E3" s="5">
        <f t="shared" si="2"/>
        <v>300000.03</v>
      </c>
      <c r="F3" s="30">
        <f t="shared" ref="F3:F9" si="6">C3</f>
        <v>300000.03</v>
      </c>
      <c r="G3" s="5">
        <f t="shared" si="3"/>
        <v>300000.03</v>
      </c>
      <c r="H3" s="7">
        <f t="shared" si="4"/>
        <v>0</v>
      </c>
      <c r="I3" s="7">
        <f t="shared" si="5"/>
        <v>0</v>
      </c>
      <c r="K3" s="16"/>
      <c r="L3" s="16"/>
      <c r="M3" s="16"/>
      <c r="N3" s="16"/>
      <c r="O3" s="16"/>
    </row>
    <row r="4" ht="22.5" customHeight="1">
      <c r="A4" s="4" t="s">
        <v>80</v>
      </c>
      <c r="B4" s="4" t="s">
        <v>81</v>
      </c>
      <c r="C4" s="4">
        <v>40000.0</v>
      </c>
      <c r="D4" s="4">
        <v>1.0</v>
      </c>
      <c r="E4" s="5">
        <f t="shared" si="2"/>
        <v>40000</v>
      </c>
      <c r="F4" s="30">
        <f t="shared" si="6"/>
        <v>40000</v>
      </c>
      <c r="G4" s="5">
        <f t="shared" si="3"/>
        <v>40000</v>
      </c>
      <c r="H4" s="7">
        <f t="shared" si="4"/>
        <v>0</v>
      </c>
      <c r="I4" s="7">
        <f t="shared" si="5"/>
        <v>0</v>
      </c>
      <c r="K4" s="16"/>
      <c r="L4" s="16"/>
      <c r="M4" s="16"/>
      <c r="N4" s="16"/>
      <c r="O4" s="16"/>
    </row>
    <row r="5" ht="22.5" customHeight="1">
      <c r="A5" s="4" t="s">
        <v>80</v>
      </c>
      <c r="B5" s="4" t="s">
        <v>82</v>
      </c>
      <c r="C5" s="4">
        <v>10000.0</v>
      </c>
      <c r="D5" s="4">
        <v>1.0</v>
      </c>
      <c r="E5" s="5">
        <f t="shared" si="2"/>
        <v>10000</v>
      </c>
      <c r="F5" s="30">
        <f t="shared" si="6"/>
        <v>10000</v>
      </c>
      <c r="G5" s="5">
        <f t="shared" si="3"/>
        <v>10000</v>
      </c>
      <c r="H5" s="7">
        <f t="shared" si="4"/>
        <v>0</v>
      </c>
      <c r="I5" s="7">
        <f t="shared" si="5"/>
        <v>0</v>
      </c>
      <c r="J5" s="3"/>
      <c r="K5" s="16"/>
      <c r="L5" s="16"/>
      <c r="M5" s="16"/>
      <c r="N5" s="16"/>
      <c r="O5" s="16"/>
    </row>
    <row r="6" ht="22.5" customHeight="1">
      <c r="A6" s="4" t="s">
        <v>80</v>
      </c>
      <c r="B6" s="4" t="s">
        <v>83</v>
      </c>
      <c r="C6" s="4">
        <v>5000.0</v>
      </c>
      <c r="D6" s="4">
        <v>1.0</v>
      </c>
      <c r="E6" s="5">
        <f t="shared" si="2"/>
        <v>5000</v>
      </c>
      <c r="F6" s="30">
        <f t="shared" si="6"/>
        <v>5000</v>
      </c>
      <c r="G6" s="5">
        <f t="shared" si="3"/>
        <v>5000</v>
      </c>
      <c r="H6" s="7">
        <f t="shared" si="4"/>
        <v>0</v>
      </c>
      <c r="I6" s="7">
        <f t="shared" si="5"/>
        <v>0</v>
      </c>
      <c r="J6" s="3"/>
      <c r="K6" s="16"/>
      <c r="L6" s="16"/>
      <c r="M6" s="16"/>
      <c r="N6" s="16"/>
      <c r="O6" s="16"/>
    </row>
    <row r="7" ht="22.5" customHeight="1">
      <c r="A7" s="4" t="s">
        <v>80</v>
      </c>
      <c r="B7" s="4" t="s">
        <v>84</v>
      </c>
      <c r="C7" s="4">
        <v>5000.0</v>
      </c>
      <c r="D7" s="4">
        <v>1.0</v>
      </c>
      <c r="E7" s="5">
        <f t="shared" si="2"/>
        <v>5000</v>
      </c>
      <c r="F7" s="30">
        <f t="shared" si="6"/>
        <v>5000</v>
      </c>
      <c r="G7" s="5">
        <f t="shared" si="3"/>
        <v>5000</v>
      </c>
      <c r="H7" s="7">
        <f t="shared" si="4"/>
        <v>0</v>
      </c>
      <c r="I7" s="7">
        <f t="shared" si="5"/>
        <v>0</v>
      </c>
      <c r="J7" s="3"/>
      <c r="K7" s="32" t="s">
        <v>0</v>
      </c>
      <c r="L7" s="32" t="s">
        <v>3</v>
      </c>
      <c r="M7" s="32" t="s">
        <v>5</v>
      </c>
      <c r="N7" s="32" t="s">
        <v>10</v>
      </c>
      <c r="O7" s="32" t="s">
        <v>11</v>
      </c>
    </row>
    <row r="8" ht="22.5" customHeight="1">
      <c r="A8" s="4" t="s">
        <v>80</v>
      </c>
      <c r="B8" s="4" t="s">
        <v>85</v>
      </c>
      <c r="C8" s="4">
        <v>100000.0</v>
      </c>
      <c r="D8" s="4">
        <v>1.0</v>
      </c>
      <c r="E8" s="5">
        <f t="shared" si="2"/>
        <v>100000</v>
      </c>
      <c r="F8" s="30">
        <f t="shared" si="6"/>
        <v>100000</v>
      </c>
      <c r="G8" s="5">
        <f t="shared" si="3"/>
        <v>100000</v>
      </c>
      <c r="H8" s="7">
        <f t="shared" si="4"/>
        <v>0</v>
      </c>
      <c r="I8" s="7">
        <f t="shared" si="5"/>
        <v>0</v>
      </c>
      <c r="J8" s="3"/>
      <c r="K8" s="32" t="s">
        <v>78</v>
      </c>
      <c r="L8" s="33">
        <f t="shared" ref="L8:L11" si="7">SUMIF(A:A,K8,E:E)</f>
        <v>300000.03</v>
      </c>
      <c r="M8" s="33">
        <f t="shared" ref="M8:M11" si="8">SUMIF(A:A,K8,G:G)</f>
        <v>300000.03</v>
      </c>
      <c r="N8" s="33">
        <f t="shared" ref="N8:N11" si="9">M8-L8</f>
        <v>0</v>
      </c>
      <c r="O8" s="33">
        <f t="shared" ref="O8:O11" si="10">ROUND((100*M8)/L8,2)-100</f>
        <v>0</v>
      </c>
    </row>
    <row r="9" ht="22.5" customHeight="1">
      <c r="A9" s="4" t="s">
        <v>86</v>
      </c>
      <c r="B9" s="4" t="s">
        <v>87</v>
      </c>
      <c r="C9" s="4">
        <v>50000.0</v>
      </c>
      <c r="D9" s="4">
        <v>1.0</v>
      </c>
      <c r="E9" s="5">
        <f t="shared" si="2"/>
        <v>50000</v>
      </c>
      <c r="F9" s="30">
        <f t="shared" si="6"/>
        <v>50000</v>
      </c>
      <c r="G9" s="5">
        <f t="shared" si="3"/>
        <v>50000</v>
      </c>
      <c r="H9" s="7">
        <f t="shared" si="4"/>
        <v>0</v>
      </c>
      <c r="I9" s="7">
        <f t="shared" si="5"/>
        <v>0</v>
      </c>
      <c r="J9" s="3"/>
      <c r="K9" s="32" t="s">
        <v>80</v>
      </c>
      <c r="L9" s="33">
        <f t="shared" si="7"/>
        <v>160000</v>
      </c>
      <c r="M9" s="33">
        <f t="shared" si="8"/>
        <v>160000</v>
      </c>
      <c r="N9" s="33">
        <f t="shared" si="9"/>
        <v>0</v>
      </c>
      <c r="O9" s="33">
        <f t="shared" si="10"/>
        <v>0</v>
      </c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2" t="s">
        <v>86</v>
      </c>
      <c r="L10" s="33">
        <f t="shared" si="7"/>
        <v>50000</v>
      </c>
      <c r="M10" s="33">
        <f t="shared" si="8"/>
        <v>50000</v>
      </c>
      <c r="N10" s="33">
        <f t="shared" si="9"/>
        <v>0</v>
      </c>
      <c r="O10" s="33">
        <f t="shared" si="10"/>
        <v>0</v>
      </c>
    </row>
    <row r="11">
      <c r="B11" s="3"/>
      <c r="C11" s="3"/>
      <c r="D11" s="3"/>
      <c r="E11" s="3"/>
      <c r="F11" s="3"/>
      <c r="G11" s="3"/>
      <c r="K11" s="32" t="s">
        <v>77</v>
      </c>
      <c r="L11" s="33">
        <f t="shared" si="7"/>
        <v>68426.28</v>
      </c>
      <c r="M11" s="33">
        <f t="shared" si="8"/>
        <v>69527.77</v>
      </c>
      <c r="N11" s="33">
        <f t="shared" si="9"/>
        <v>1101.49</v>
      </c>
      <c r="O11" s="33">
        <f t="shared" si="10"/>
        <v>1.61</v>
      </c>
    </row>
    <row r="13">
      <c r="C13" s="3"/>
    </row>
    <row r="14">
      <c r="C14" s="3"/>
    </row>
    <row r="15">
      <c r="C15" s="3"/>
    </row>
    <row r="16">
      <c r="C16" s="3"/>
    </row>
  </sheetData>
  <dataValidations>
    <dataValidation type="custom" allowBlank="1" showDropDown="1" sqref="F2:F9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6.5"/>
    <col customWidth="1" min="3" max="4" width="21.0"/>
    <col customWidth="1" min="5" max="6" width="19.0"/>
    <col customWidth="1" min="7" max="7" width="12.75"/>
    <col customWidth="1" min="8" max="8" width="14.5"/>
    <col customWidth="1" min="11" max="11" width="17.25"/>
    <col customWidth="1" min="21" max="21" width="19.0"/>
    <col customWidth="1" min="22" max="22" width="1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/>
      <c r="O1" s="3"/>
      <c r="P1" s="3"/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7</v>
      </c>
      <c r="Y1" s="3"/>
      <c r="Z1" s="36" t="s">
        <v>88</v>
      </c>
      <c r="AA1" s="36" t="s">
        <v>89</v>
      </c>
      <c r="AB1" s="36" t="s">
        <v>90</v>
      </c>
      <c r="AC1" s="3"/>
    </row>
    <row r="2" ht="22.5" customHeight="1">
      <c r="A2" s="4" t="s">
        <v>91</v>
      </c>
      <c r="B2" s="31">
        <v>1992.78</v>
      </c>
      <c r="C2" s="4">
        <v>0.0138</v>
      </c>
      <c r="D2" s="5">
        <f t="shared" ref="D2:D9" si="1">B2*C2</f>
        <v>27.500364</v>
      </c>
      <c r="E2" s="39">
        <f t="shared" ref="E2:E9" si="2">YAHOO_PRICE("GC=F")</f>
        <v>4535.3</v>
      </c>
      <c r="F2" s="40">
        <f t="shared" ref="F2:F9" si="3">C2*E2</f>
        <v>62.58714</v>
      </c>
      <c r="G2" s="41">
        <f t="shared" ref="G2:G9" si="4">F2-D2</f>
        <v>35.086776</v>
      </c>
      <c r="H2" s="41">
        <f t="shared" ref="H2:H9" si="5">ROUND((100*F2)/D2,2)-100</f>
        <v>127.59</v>
      </c>
      <c r="J2" s="8">
        <f>SUM(D:D) + (SUM(T:T)*AB8)</f>
        <v>448.5326456</v>
      </c>
      <c r="K2" s="8">
        <f>SUM(F:F) + (SUM(V:V)*AB8)</f>
        <v>599.6653733</v>
      </c>
      <c r="L2" s="8">
        <f>SUM(G:G)</f>
        <v>152.4432992</v>
      </c>
      <c r="M2" s="8">
        <f>ROUND(100*K2/J2,2)-100</f>
        <v>33.69</v>
      </c>
      <c r="N2" s="3"/>
      <c r="O2" s="3"/>
      <c r="P2" s="3"/>
      <c r="Q2" s="4" t="s">
        <v>91</v>
      </c>
      <c r="R2" s="31">
        <v>71960.0</v>
      </c>
      <c r="S2" s="4">
        <v>0.2118</v>
      </c>
      <c r="T2" s="5">
        <f>R2*S2/AA2</f>
        <v>999.811598</v>
      </c>
      <c r="U2" s="39">
        <f>YAHOO_PRICE("GC=F")/AB3*AB7</f>
        <v>72183.53333</v>
      </c>
      <c r="V2" s="40">
        <f>S2*U2/AA2</f>
        <v>1002.917368</v>
      </c>
      <c r="W2" s="41">
        <f t="shared" ref="W2:W3" si="6">V2-T2</f>
        <v>3.105770139</v>
      </c>
      <c r="X2" s="41">
        <f t="shared" ref="X2:X3" si="7">ROUND((100*V2)/T2,2)-100</f>
        <v>0.31</v>
      </c>
      <c r="Y2" s="3"/>
      <c r="Z2" s="37">
        <v>0.49</v>
      </c>
      <c r="AA2" s="37">
        <v>15.244</v>
      </c>
      <c r="AB2" s="38">
        <v>1.0</v>
      </c>
      <c r="AC2" s="3"/>
    </row>
    <row r="3" ht="22.5" customHeight="1">
      <c r="A3" s="4" t="s">
        <v>91</v>
      </c>
      <c r="B3" s="4">
        <v>2877.45</v>
      </c>
      <c r="C3" s="4">
        <v>0.0509</v>
      </c>
      <c r="D3" s="5">
        <f t="shared" si="1"/>
        <v>146.462205</v>
      </c>
      <c r="E3" s="39">
        <f t="shared" si="2"/>
        <v>4535.3</v>
      </c>
      <c r="F3" s="40">
        <f t="shared" si="3"/>
        <v>230.84677</v>
      </c>
      <c r="G3" s="41">
        <f t="shared" si="4"/>
        <v>84.384565</v>
      </c>
      <c r="H3" s="41">
        <f t="shared" si="5"/>
        <v>57.62</v>
      </c>
      <c r="J3" s="9"/>
      <c r="K3" s="9"/>
      <c r="L3" s="9"/>
      <c r="M3" s="9"/>
      <c r="N3" s="3"/>
      <c r="O3" s="3"/>
      <c r="P3" s="3"/>
      <c r="Q3" s="4" t="s">
        <v>91</v>
      </c>
      <c r="R3" s="31">
        <v>77060.0</v>
      </c>
      <c r="S3" s="4">
        <v>0.1978</v>
      </c>
      <c r="T3" s="5">
        <f>R3*S3/AA2</f>
        <v>999.8995014</v>
      </c>
      <c r="U3" s="39">
        <v>73531.49</v>
      </c>
      <c r="V3" s="40">
        <f>S3*U3/AA2</f>
        <v>954.1149778</v>
      </c>
      <c r="W3" s="41">
        <f t="shared" si="6"/>
        <v>-45.78452362</v>
      </c>
      <c r="X3" s="41">
        <f t="shared" si="7"/>
        <v>-4.58</v>
      </c>
      <c r="Y3" s="3"/>
      <c r="Z3" s="37">
        <v>1.0</v>
      </c>
      <c r="AA3" s="37">
        <v>31.104</v>
      </c>
      <c r="AB3" s="38">
        <v>2.046</v>
      </c>
      <c r="AC3" s="3"/>
    </row>
    <row r="4" ht="22.5" customHeight="1">
      <c r="A4" s="4" t="s">
        <v>91</v>
      </c>
      <c r="B4" s="4">
        <v>3312.04</v>
      </c>
      <c r="C4" s="4">
        <v>8.0E-4</v>
      </c>
      <c r="D4" s="5">
        <f t="shared" si="1"/>
        <v>2.649632</v>
      </c>
      <c r="E4" s="39">
        <f t="shared" si="2"/>
        <v>4535.3</v>
      </c>
      <c r="F4" s="40">
        <f t="shared" si="3"/>
        <v>3.62824</v>
      </c>
      <c r="G4" s="41">
        <f t="shared" si="4"/>
        <v>0.978608</v>
      </c>
      <c r="H4" s="41">
        <f t="shared" si="5"/>
        <v>36.93</v>
      </c>
      <c r="J4" s="9"/>
      <c r="K4" s="9"/>
      <c r="L4" s="9"/>
      <c r="M4" s="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22.5" customHeight="1">
      <c r="A5" s="4" t="s">
        <v>91</v>
      </c>
      <c r="B5" s="4">
        <v>3230.55</v>
      </c>
      <c r="C5" s="4">
        <v>0.0046</v>
      </c>
      <c r="D5" s="5">
        <f t="shared" si="1"/>
        <v>14.86053</v>
      </c>
      <c r="E5" s="39">
        <f t="shared" si="2"/>
        <v>4535.3</v>
      </c>
      <c r="F5" s="40">
        <f t="shared" si="3"/>
        <v>20.86238</v>
      </c>
      <c r="G5" s="41">
        <f t="shared" si="4"/>
        <v>6.00185</v>
      </c>
      <c r="H5" s="41">
        <f t="shared" si="5"/>
        <v>40.39</v>
      </c>
      <c r="I5" s="3"/>
      <c r="J5" s="32" t="s">
        <v>0</v>
      </c>
      <c r="K5" s="32" t="s">
        <v>3</v>
      </c>
      <c r="L5" s="32" t="s">
        <v>5</v>
      </c>
      <c r="M5" s="9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22.5" customHeight="1">
      <c r="A6" s="4" t="s">
        <v>91</v>
      </c>
      <c r="B6" s="4">
        <v>3289.35</v>
      </c>
      <c r="C6" s="4">
        <v>0.0184</v>
      </c>
      <c r="D6" s="5">
        <f t="shared" si="1"/>
        <v>60.52404</v>
      </c>
      <c r="E6" s="39">
        <f t="shared" si="2"/>
        <v>4535.3</v>
      </c>
      <c r="F6" s="40">
        <f t="shared" si="3"/>
        <v>83.44952</v>
      </c>
      <c r="G6" s="41">
        <f t="shared" si="4"/>
        <v>22.92548</v>
      </c>
      <c r="H6" s="41">
        <f t="shared" si="5"/>
        <v>37.88</v>
      </c>
      <c r="I6" s="3"/>
      <c r="J6" s="32" t="s">
        <v>91</v>
      </c>
      <c r="K6" s="33">
        <f>SUMIF(A:A,J6,D:D) + (SUMIF(Q:Q,J6,T:T)*AB8)</f>
        <v>448.5326456</v>
      </c>
      <c r="L6" s="33">
        <f>SUMIF(A:A,J6,F:F)+ (SUMIF(Q:Q,J6,V:V)*AB8)</f>
        <v>599.6653733</v>
      </c>
      <c r="M6" s="9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6" t="s">
        <v>72</v>
      </c>
      <c r="AA6" s="36" t="s">
        <v>73</v>
      </c>
      <c r="AB6" s="36" t="s">
        <v>74</v>
      </c>
      <c r="AC6" s="3"/>
    </row>
    <row r="7" ht="22.5" customHeight="1">
      <c r="A7" s="4" t="s">
        <v>91</v>
      </c>
      <c r="B7" s="4">
        <v>3857.46</v>
      </c>
      <c r="C7" s="4">
        <v>0.0159</v>
      </c>
      <c r="D7" s="5">
        <f t="shared" si="1"/>
        <v>61.333614</v>
      </c>
      <c r="E7" s="39">
        <f t="shared" si="2"/>
        <v>4535.3</v>
      </c>
      <c r="F7" s="40">
        <f t="shared" si="3"/>
        <v>72.11127</v>
      </c>
      <c r="G7" s="41">
        <f t="shared" si="4"/>
        <v>10.777656</v>
      </c>
      <c r="H7" s="41">
        <f t="shared" si="5"/>
        <v>17.57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7" t="s">
        <v>75</v>
      </c>
      <c r="AA7" s="37" t="s">
        <v>69</v>
      </c>
      <c r="AB7" s="38">
        <f>IFERROR(__xludf.DUMMYFUNCTION("GOOGLEFINANCE(""CURRENCY:""&amp;Z7&amp;AA7)
"),32.564)</f>
        <v>32.564</v>
      </c>
      <c r="AC7" s="3"/>
    </row>
    <row r="8" ht="22.5" customHeight="1">
      <c r="A8" s="4" t="s">
        <v>91</v>
      </c>
      <c r="B8" s="4">
        <v>4791.96</v>
      </c>
      <c r="C8" s="4">
        <v>2.12E-4</v>
      </c>
      <c r="D8" s="5">
        <f t="shared" si="1"/>
        <v>1.01589552</v>
      </c>
      <c r="E8" s="39">
        <f t="shared" si="2"/>
        <v>4535.3</v>
      </c>
      <c r="F8" s="40">
        <f t="shared" si="3"/>
        <v>0.9614836</v>
      </c>
      <c r="G8" s="41">
        <f t="shared" si="4"/>
        <v>-0.05441192</v>
      </c>
      <c r="H8" s="41">
        <f t="shared" si="5"/>
        <v>-5.36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7" t="s">
        <v>69</v>
      </c>
      <c r="AA8" s="37" t="s">
        <v>75</v>
      </c>
      <c r="AB8" s="38">
        <f>IFERROR(__xludf.DUMMYFUNCTION("GOOGLEFINANCE(""CURRENCY:""&amp;Z8&amp;AA8)
"),0.03070782)</f>
        <v>0.03070782</v>
      </c>
      <c r="AC8" s="3"/>
    </row>
    <row r="9" ht="22.5" customHeight="1">
      <c r="A9" s="4" t="s">
        <v>91</v>
      </c>
      <c r="B9" s="4">
        <v>5068.57</v>
      </c>
      <c r="C9" s="4">
        <v>0.014359</v>
      </c>
      <c r="D9" s="5">
        <f t="shared" si="1"/>
        <v>72.77959663</v>
      </c>
      <c r="E9" s="39">
        <f t="shared" si="2"/>
        <v>4535.3</v>
      </c>
      <c r="F9" s="40">
        <f t="shared" si="3"/>
        <v>65.1223727</v>
      </c>
      <c r="G9" s="41">
        <f t="shared" si="4"/>
        <v>-7.65722393</v>
      </c>
      <c r="H9" s="41">
        <f t="shared" si="5"/>
        <v>-10.52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Y1001" s="3"/>
      <c r="Z1001" s="3"/>
      <c r="AA1001" s="3"/>
      <c r="AB1001" s="3"/>
      <c r="AC1001" s="3"/>
    </row>
    <row r="1002">
      <c r="I1002" s="3"/>
      <c r="J1002" s="3"/>
      <c r="K1002" s="3"/>
      <c r="L1002" s="3"/>
      <c r="M1002" s="3"/>
      <c r="N1002" s="3"/>
      <c r="O1002" s="3"/>
      <c r="P1002" s="3"/>
      <c r="Y1002" s="3"/>
      <c r="Z1002" s="3"/>
      <c r="AA1002" s="3"/>
      <c r="AB1002" s="3"/>
      <c r="AC1002" s="3"/>
    </row>
  </sheetData>
  <dataValidations>
    <dataValidation type="custom" allowBlank="1" showDropDown="1" sqref="U2:X3 E2:H9">
      <formula1>AND(ISNUMBER(E2),(NOT(OR(NOT(ISERROR(DATEVALUE(E2))), AND(ISNUMBER(E2), LEFT(CELL("format", E2))="D")))))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88"/>
    <col customWidth="1" min="17" max="17" width="10.63"/>
    <col customWidth="1" min="18" max="18" width="14.25"/>
  </cols>
  <sheetData>
    <row r="1" ht="22.5" customHeight="1">
      <c r="A1" s="42" t="s">
        <v>92</v>
      </c>
      <c r="B1" s="42" t="s">
        <v>0</v>
      </c>
      <c r="C1" s="42" t="s">
        <v>76</v>
      </c>
      <c r="D1" s="42" t="s">
        <v>3</v>
      </c>
      <c r="E1" s="42" t="s">
        <v>93</v>
      </c>
      <c r="F1" s="43" t="s">
        <v>6</v>
      </c>
      <c r="G1" s="43" t="s">
        <v>7</v>
      </c>
      <c r="I1" s="44" t="s">
        <v>92</v>
      </c>
      <c r="J1" s="44" t="s">
        <v>0</v>
      </c>
      <c r="K1" s="44" t="s">
        <v>76</v>
      </c>
      <c r="L1" s="44" t="s">
        <v>3</v>
      </c>
      <c r="M1" s="44" t="s">
        <v>93</v>
      </c>
      <c r="N1" s="45" t="s">
        <v>6</v>
      </c>
      <c r="O1" s="45" t="s">
        <v>7</v>
      </c>
      <c r="Q1" s="2" t="s">
        <v>8</v>
      </c>
      <c r="R1" s="2" t="s">
        <v>9</v>
      </c>
      <c r="S1" s="2" t="s">
        <v>10</v>
      </c>
      <c r="T1" s="2" t="s">
        <v>11</v>
      </c>
    </row>
    <row r="2" ht="22.5" customHeight="1">
      <c r="A2" s="46" t="s">
        <v>94</v>
      </c>
      <c r="B2" s="46" t="s">
        <v>95</v>
      </c>
      <c r="C2" s="46" t="s">
        <v>96</v>
      </c>
      <c r="D2" s="46">
        <v>5000.0</v>
      </c>
      <c r="E2" s="46">
        <v>4778.59</v>
      </c>
      <c r="F2" s="47">
        <f t="shared" ref="F2:F5" si="2">E2-D2</f>
        <v>-221.41</v>
      </c>
      <c r="G2" s="47">
        <f t="shared" ref="G2:G5" si="3">ROUND(100*F2/D2,2)</f>
        <v>-4.43</v>
      </c>
      <c r="I2" s="48" t="s">
        <v>97</v>
      </c>
      <c r="J2" s="48" t="s">
        <v>98</v>
      </c>
      <c r="K2" s="48" t="s">
        <v>99</v>
      </c>
      <c r="L2" s="48">
        <f>62.24+100.69</f>
        <v>162.93</v>
      </c>
      <c r="M2" s="48">
        <v>187.54</v>
      </c>
      <c r="N2" s="48">
        <f t="shared" ref="N2:N13" si="4">M2-L2</f>
        <v>24.61</v>
      </c>
      <c r="O2" s="48">
        <f t="shared" ref="O2:O13" si="5">ROUND(100*N2/L2,2)</f>
        <v>15.1</v>
      </c>
      <c r="Q2" s="49">
        <f t="shared" ref="Q2:S2" si="1">SUM(D:D)</f>
        <v>20000</v>
      </c>
      <c r="R2" s="49">
        <f t="shared" si="1"/>
        <v>20237.04</v>
      </c>
      <c r="S2" s="8">
        <f t="shared" si="1"/>
        <v>237.04</v>
      </c>
      <c r="T2" s="8">
        <f>ROUND(100*R2/Q2,2)-100</f>
        <v>1.19</v>
      </c>
    </row>
    <row r="3" ht="22.5" customHeight="1">
      <c r="A3" s="46" t="s">
        <v>94</v>
      </c>
      <c r="B3" s="46" t="s">
        <v>100</v>
      </c>
      <c r="C3" s="46" t="s">
        <v>96</v>
      </c>
      <c r="D3" s="46">
        <v>1500.0</v>
      </c>
      <c r="E3" s="46">
        <v>1530.71</v>
      </c>
      <c r="F3" s="47">
        <f t="shared" si="2"/>
        <v>30.71</v>
      </c>
      <c r="G3" s="47">
        <f t="shared" si="3"/>
        <v>2.05</v>
      </c>
      <c r="I3" s="48" t="s">
        <v>97</v>
      </c>
      <c r="J3" s="48" t="s">
        <v>101</v>
      </c>
      <c r="K3" s="48" t="s">
        <v>99</v>
      </c>
      <c r="L3" s="48">
        <v>36.7597384</v>
      </c>
      <c r="M3" s="48">
        <f>0.66973*59.8134</f>
        <v>40.05882838</v>
      </c>
      <c r="N3" s="48">
        <f t="shared" si="4"/>
        <v>3.299089982</v>
      </c>
      <c r="O3" s="48">
        <f t="shared" si="5"/>
        <v>8.97</v>
      </c>
    </row>
    <row r="4" ht="22.5" customHeight="1">
      <c r="A4" s="46" t="s">
        <v>94</v>
      </c>
      <c r="B4" s="46" t="s">
        <v>102</v>
      </c>
      <c r="C4" s="46" t="s">
        <v>96</v>
      </c>
      <c r="D4" s="46">
        <v>5500.0</v>
      </c>
      <c r="E4" s="46">
        <v>5398.59</v>
      </c>
      <c r="F4" s="47">
        <f t="shared" si="2"/>
        <v>-101.41</v>
      </c>
      <c r="G4" s="47">
        <f t="shared" si="3"/>
        <v>-1.84</v>
      </c>
      <c r="I4" s="48" t="s">
        <v>97</v>
      </c>
      <c r="J4" s="48" t="s">
        <v>59</v>
      </c>
      <c r="K4" s="48" t="s">
        <v>99</v>
      </c>
      <c r="L4" s="48">
        <v>149.7521948</v>
      </c>
      <c r="M4" s="48">
        <v>158.78</v>
      </c>
      <c r="N4" s="48">
        <f t="shared" si="4"/>
        <v>9.0278052</v>
      </c>
      <c r="O4" s="48">
        <f t="shared" si="5"/>
        <v>6.03</v>
      </c>
    </row>
    <row r="5" ht="22.5" customHeight="1">
      <c r="A5" s="46" t="s">
        <v>103</v>
      </c>
      <c r="B5" s="46" t="s">
        <v>104</v>
      </c>
      <c r="C5" s="46" t="s">
        <v>96</v>
      </c>
      <c r="D5" s="46">
        <v>8000.0</v>
      </c>
      <c r="E5" s="46">
        <v>8529.15</v>
      </c>
      <c r="F5" s="47">
        <f t="shared" si="2"/>
        <v>529.15</v>
      </c>
      <c r="G5" s="47">
        <f t="shared" si="3"/>
        <v>6.61</v>
      </c>
      <c r="I5" s="48" t="s">
        <v>105</v>
      </c>
      <c r="J5" s="48" t="s">
        <v>106</v>
      </c>
      <c r="K5" s="48" t="s">
        <v>99</v>
      </c>
      <c r="L5" s="48">
        <v>116.3</v>
      </c>
      <c r="M5" s="48">
        <v>120.97</v>
      </c>
      <c r="N5" s="48">
        <f t="shared" si="4"/>
        <v>4.67</v>
      </c>
      <c r="O5" s="48">
        <f t="shared" si="5"/>
        <v>4.02</v>
      </c>
      <c r="Q5" s="2" t="s">
        <v>8</v>
      </c>
      <c r="R5" s="2" t="s">
        <v>9</v>
      </c>
      <c r="S5" s="2" t="s">
        <v>10</v>
      </c>
      <c r="T5" s="2" t="s">
        <v>11</v>
      </c>
    </row>
    <row r="6">
      <c r="A6" s="50"/>
      <c r="I6" s="51" t="s">
        <v>105</v>
      </c>
      <c r="J6" s="48" t="s">
        <v>107</v>
      </c>
      <c r="K6" s="48" t="s">
        <v>99</v>
      </c>
      <c r="L6" s="48">
        <v>89.75</v>
      </c>
      <c r="M6" s="48">
        <v>96.79</v>
      </c>
      <c r="N6" s="48">
        <f t="shared" si="4"/>
        <v>7.04</v>
      </c>
      <c r="O6" s="48">
        <f t="shared" si="5"/>
        <v>7.84</v>
      </c>
      <c r="Q6" s="49">
        <f t="shared" ref="Q6:S6" si="6">SUM(L:L)</f>
        <v>943.3219332</v>
      </c>
      <c r="R6" s="49">
        <f t="shared" si="6"/>
        <v>983.9388284</v>
      </c>
      <c r="S6" s="8">
        <f t="shared" si="6"/>
        <v>40.61689518</v>
      </c>
      <c r="T6" s="8">
        <f>ROUND(100*R6/Q6,2)-100</f>
        <v>4.31</v>
      </c>
    </row>
    <row r="7">
      <c r="A7" s="50"/>
      <c r="I7" s="52">
        <v>46117.0</v>
      </c>
      <c r="J7" s="48" t="s">
        <v>108</v>
      </c>
      <c r="K7" s="48" t="s">
        <v>99</v>
      </c>
      <c r="L7" s="48">
        <f>19.47+60</f>
        <v>79.47</v>
      </c>
      <c r="M7" s="48">
        <v>81.41</v>
      </c>
      <c r="N7" s="48">
        <f t="shared" si="4"/>
        <v>1.94</v>
      </c>
      <c r="O7" s="48">
        <f t="shared" si="5"/>
        <v>2.44</v>
      </c>
    </row>
    <row r="8">
      <c r="A8" s="50"/>
      <c r="I8" s="52">
        <v>46117.0</v>
      </c>
      <c r="J8" s="48" t="s">
        <v>109</v>
      </c>
      <c r="K8" s="48" t="s">
        <v>99</v>
      </c>
      <c r="L8" s="48">
        <v>65.09</v>
      </c>
      <c r="M8" s="48">
        <v>64.62</v>
      </c>
      <c r="N8" s="48">
        <f t="shared" si="4"/>
        <v>-0.47</v>
      </c>
      <c r="O8" s="48">
        <f t="shared" si="5"/>
        <v>-0.72</v>
      </c>
    </row>
    <row r="9">
      <c r="A9" s="50"/>
      <c r="I9" s="52">
        <v>46117.0</v>
      </c>
      <c r="J9" s="48" t="s">
        <v>110</v>
      </c>
      <c r="K9" s="48" t="s">
        <v>99</v>
      </c>
      <c r="L9" s="48">
        <f>12.46+81.43</f>
        <v>93.89</v>
      </c>
      <c r="M9" s="48">
        <v>93.12</v>
      </c>
      <c r="N9" s="48">
        <f t="shared" si="4"/>
        <v>-0.77</v>
      </c>
      <c r="O9" s="48">
        <f t="shared" si="5"/>
        <v>-0.82</v>
      </c>
    </row>
    <row r="10">
      <c r="A10" s="50"/>
      <c r="I10" s="52">
        <v>46153.0</v>
      </c>
      <c r="J10" s="48" t="s">
        <v>111</v>
      </c>
      <c r="K10" s="48" t="s">
        <v>99</v>
      </c>
      <c r="L10" s="48">
        <f>62+15.93</f>
        <v>77.93</v>
      </c>
      <c r="M10" s="48">
        <v>71.44</v>
      </c>
      <c r="N10" s="48">
        <f t="shared" si="4"/>
        <v>-6.49</v>
      </c>
      <c r="O10" s="48">
        <f t="shared" si="5"/>
        <v>-8.33</v>
      </c>
    </row>
    <row r="11">
      <c r="A11" s="50"/>
      <c r="I11" s="52">
        <v>46161.0</v>
      </c>
      <c r="J11" s="48" t="s">
        <v>112</v>
      </c>
      <c r="K11" s="48" t="s">
        <v>99</v>
      </c>
      <c r="L11" s="48">
        <v>36.44</v>
      </c>
      <c r="M11" s="48">
        <v>30.02</v>
      </c>
      <c r="N11" s="48">
        <f t="shared" si="4"/>
        <v>-6.42</v>
      </c>
      <c r="O11" s="48">
        <f t="shared" si="5"/>
        <v>-17.62</v>
      </c>
    </row>
    <row r="12">
      <c r="A12" s="50"/>
      <c r="I12" s="51" t="s">
        <v>113</v>
      </c>
      <c r="J12" s="48" t="s">
        <v>114</v>
      </c>
      <c r="K12" s="48" t="s">
        <v>99</v>
      </c>
      <c r="L12" s="48">
        <v>0.01</v>
      </c>
      <c r="M12" s="48">
        <v>1.51</v>
      </c>
      <c r="N12" s="48">
        <f t="shared" si="4"/>
        <v>1.5</v>
      </c>
      <c r="O12" s="48">
        <f t="shared" si="5"/>
        <v>15000</v>
      </c>
    </row>
    <row r="13">
      <c r="A13" s="50"/>
      <c r="I13" s="52">
        <v>46117.0</v>
      </c>
      <c r="J13" s="48" t="s">
        <v>115</v>
      </c>
      <c r="K13" s="48" t="s">
        <v>99</v>
      </c>
      <c r="L13" s="48">
        <v>35.0</v>
      </c>
      <c r="M13" s="48">
        <v>37.68</v>
      </c>
      <c r="N13" s="48">
        <f t="shared" si="4"/>
        <v>2.68</v>
      </c>
      <c r="O13" s="48">
        <f t="shared" si="5"/>
        <v>7.66</v>
      </c>
    </row>
    <row r="14">
      <c r="A14" s="50"/>
      <c r="I14" s="52"/>
      <c r="J14" s="48"/>
      <c r="K14" s="48"/>
      <c r="L14" s="51"/>
      <c r="M14" s="48"/>
      <c r="N14" s="48"/>
      <c r="O14" s="48"/>
    </row>
    <row r="15">
      <c r="A15" s="50"/>
      <c r="Q15" s="36" t="s">
        <v>72</v>
      </c>
      <c r="R15" s="36" t="s">
        <v>73</v>
      </c>
      <c r="S15" s="36" t="s">
        <v>74</v>
      </c>
    </row>
    <row r="16">
      <c r="A16" s="50"/>
      <c r="Q16" s="37" t="s">
        <v>75</v>
      </c>
      <c r="R16" s="37" t="s">
        <v>69</v>
      </c>
      <c r="S16" s="38">
        <f>IFERROR(__xludf.DUMMYFUNCTION("GOOGLEFINANCE(""CURRENCY:""&amp;Q16&amp;R16)
"),32.564)</f>
        <v>32.564</v>
      </c>
    </row>
    <row r="17">
      <c r="A17" s="50"/>
      <c r="Q17" s="37" t="s">
        <v>69</v>
      </c>
      <c r="R17" s="37" t="s">
        <v>75</v>
      </c>
      <c r="S17" s="38">
        <f>IFERROR(__xludf.DUMMYFUNCTION("GOOGLEFINANCE(""CURRENCY:""&amp;Q17&amp;R17)
"),0.03070782)</f>
        <v>0.03070782</v>
      </c>
    </row>
    <row r="18">
      <c r="A18" s="50"/>
    </row>
    <row r="19">
      <c r="A19" s="50"/>
    </row>
    <row r="20">
      <c r="A20" s="50"/>
    </row>
    <row r="21">
      <c r="A21" s="50"/>
    </row>
    <row r="22">
      <c r="A22" s="50"/>
    </row>
    <row r="23">
      <c r="A23" s="50"/>
    </row>
    <row r="24">
      <c r="A24" s="50"/>
    </row>
    <row r="25">
      <c r="A25" s="50"/>
    </row>
    <row r="26">
      <c r="A26" s="50"/>
    </row>
    <row r="27">
      <c r="A27" s="50"/>
    </row>
    <row r="28">
      <c r="A28" s="50"/>
    </row>
    <row r="29">
      <c r="A29" s="50"/>
    </row>
    <row r="30">
      <c r="A30" s="50"/>
    </row>
    <row r="31">
      <c r="A31" s="50"/>
    </row>
    <row r="32">
      <c r="A32" s="50"/>
    </row>
    <row r="33">
      <c r="A33" s="50"/>
    </row>
    <row r="34">
      <c r="A34" s="50"/>
    </row>
    <row r="35">
      <c r="A35" s="50"/>
    </row>
    <row r="36">
      <c r="A36" s="50"/>
    </row>
    <row r="37">
      <c r="A37" s="50"/>
    </row>
    <row r="38">
      <c r="A38" s="50"/>
    </row>
    <row r="39">
      <c r="A39" s="50"/>
    </row>
    <row r="40">
      <c r="A40" s="50"/>
    </row>
    <row r="41">
      <c r="A41" s="50"/>
    </row>
    <row r="42">
      <c r="A42" s="50"/>
    </row>
    <row r="43">
      <c r="A43" s="50"/>
    </row>
    <row r="44">
      <c r="A44" s="50"/>
    </row>
    <row r="45">
      <c r="A45" s="50"/>
    </row>
    <row r="46">
      <c r="A46" s="50"/>
    </row>
    <row r="47">
      <c r="A47" s="50"/>
    </row>
    <row r="48">
      <c r="A48" s="50"/>
    </row>
    <row r="49">
      <c r="A49" s="50"/>
    </row>
    <row r="50">
      <c r="A50" s="50"/>
    </row>
    <row r="51">
      <c r="A51" s="50"/>
    </row>
    <row r="52">
      <c r="A52" s="50"/>
    </row>
    <row r="53">
      <c r="A53" s="50"/>
    </row>
    <row r="54">
      <c r="A54" s="50"/>
    </row>
    <row r="55">
      <c r="A55" s="50"/>
    </row>
    <row r="56">
      <c r="A56" s="50"/>
    </row>
    <row r="57">
      <c r="A57" s="50"/>
    </row>
    <row r="58">
      <c r="A58" s="50"/>
    </row>
    <row r="59">
      <c r="A59" s="50"/>
    </row>
    <row r="60">
      <c r="A60" s="50"/>
    </row>
    <row r="61">
      <c r="A61" s="50"/>
    </row>
    <row r="62">
      <c r="A62" s="50"/>
    </row>
    <row r="63">
      <c r="A63" s="50"/>
    </row>
    <row r="64">
      <c r="A64" s="50"/>
    </row>
    <row r="65">
      <c r="A65" s="50"/>
    </row>
    <row r="66">
      <c r="A66" s="50"/>
    </row>
    <row r="67">
      <c r="A67" s="50"/>
    </row>
    <row r="68">
      <c r="A68" s="50"/>
    </row>
    <row r="69">
      <c r="A69" s="50"/>
    </row>
    <row r="70">
      <c r="A70" s="50"/>
    </row>
    <row r="71">
      <c r="A71" s="50"/>
    </row>
    <row r="72">
      <c r="A72" s="50"/>
    </row>
    <row r="73">
      <c r="A73" s="50"/>
    </row>
    <row r="74">
      <c r="A74" s="50"/>
    </row>
    <row r="75">
      <c r="A75" s="50"/>
    </row>
    <row r="76">
      <c r="A76" s="50"/>
    </row>
    <row r="77">
      <c r="A77" s="50"/>
    </row>
    <row r="78">
      <c r="A78" s="50"/>
    </row>
    <row r="79">
      <c r="A79" s="50"/>
    </row>
    <row r="80">
      <c r="A80" s="50"/>
    </row>
    <row r="81">
      <c r="A81" s="50"/>
    </row>
    <row r="82">
      <c r="A82" s="50"/>
    </row>
    <row r="83">
      <c r="A83" s="50"/>
    </row>
    <row r="84">
      <c r="A84" s="50"/>
    </row>
    <row r="85">
      <c r="A85" s="50"/>
    </row>
    <row r="86">
      <c r="A86" s="50"/>
    </row>
    <row r="87">
      <c r="A87" s="50"/>
    </row>
    <row r="88">
      <c r="A88" s="50"/>
    </row>
    <row r="89">
      <c r="A89" s="50"/>
    </row>
    <row r="90">
      <c r="A90" s="50"/>
    </row>
    <row r="91">
      <c r="A91" s="50"/>
    </row>
    <row r="92">
      <c r="A92" s="50"/>
    </row>
    <row r="93">
      <c r="A93" s="50"/>
    </row>
    <row r="94">
      <c r="A94" s="50"/>
    </row>
    <row r="95">
      <c r="A95" s="50"/>
    </row>
    <row r="96">
      <c r="A96" s="50"/>
    </row>
    <row r="97">
      <c r="A97" s="50"/>
    </row>
    <row r="98">
      <c r="A98" s="50"/>
    </row>
    <row r="99">
      <c r="A99" s="50"/>
    </row>
    <row r="100">
      <c r="A100" s="50"/>
    </row>
    <row r="101">
      <c r="A101" s="50"/>
    </row>
    <row r="102">
      <c r="A102" s="50"/>
    </row>
    <row r="103">
      <c r="A103" s="50"/>
    </row>
    <row r="104">
      <c r="A104" s="50"/>
    </row>
    <row r="105">
      <c r="A105" s="50"/>
    </row>
    <row r="106">
      <c r="A106" s="50"/>
    </row>
    <row r="107">
      <c r="A107" s="50"/>
    </row>
    <row r="108">
      <c r="A108" s="50"/>
    </row>
    <row r="109">
      <c r="A109" s="50"/>
    </row>
    <row r="110">
      <c r="A110" s="50"/>
    </row>
    <row r="111">
      <c r="A111" s="50"/>
    </row>
    <row r="112">
      <c r="A112" s="50"/>
    </row>
    <row r="113">
      <c r="A113" s="50"/>
    </row>
    <row r="114">
      <c r="A114" s="50"/>
    </row>
    <row r="115">
      <c r="A115" s="50"/>
    </row>
    <row r="116">
      <c r="A116" s="50"/>
    </row>
    <row r="117">
      <c r="A117" s="50"/>
    </row>
    <row r="118">
      <c r="A118" s="50"/>
    </row>
    <row r="119">
      <c r="A119" s="50"/>
    </row>
    <row r="120">
      <c r="A120" s="50"/>
    </row>
    <row r="121">
      <c r="A121" s="50"/>
    </row>
    <row r="122">
      <c r="A122" s="50"/>
    </row>
    <row r="123">
      <c r="A123" s="50"/>
    </row>
    <row r="124">
      <c r="A124" s="50"/>
    </row>
    <row r="125">
      <c r="A125" s="50"/>
    </row>
    <row r="126">
      <c r="A126" s="50"/>
    </row>
    <row r="127">
      <c r="A127" s="50"/>
    </row>
    <row r="128">
      <c r="A128" s="50"/>
    </row>
    <row r="129">
      <c r="A129" s="50"/>
    </row>
    <row r="130">
      <c r="A130" s="50"/>
    </row>
    <row r="131">
      <c r="A131" s="50"/>
    </row>
    <row r="132">
      <c r="A132" s="50"/>
    </row>
    <row r="133">
      <c r="A133" s="50"/>
    </row>
    <row r="134">
      <c r="A134" s="50"/>
    </row>
    <row r="135">
      <c r="A135" s="50"/>
    </row>
    <row r="136">
      <c r="A136" s="50"/>
    </row>
    <row r="137">
      <c r="A137" s="50"/>
    </row>
    <row r="138">
      <c r="A138" s="50"/>
    </row>
    <row r="139">
      <c r="A139" s="50"/>
    </row>
    <row r="140">
      <c r="A140" s="50"/>
    </row>
    <row r="141">
      <c r="A141" s="50"/>
    </row>
    <row r="142">
      <c r="A142" s="50"/>
    </row>
    <row r="143">
      <c r="A143" s="50"/>
    </row>
    <row r="144">
      <c r="A144" s="50"/>
    </row>
    <row r="145">
      <c r="A145" s="50"/>
    </row>
    <row r="146">
      <c r="A146" s="50"/>
    </row>
    <row r="147">
      <c r="A147" s="50"/>
    </row>
    <row r="148">
      <c r="A148" s="50"/>
    </row>
    <row r="149">
      <c r="A149" s="50"/>
    </row>
    <row r="150">
      <c r="A150" s="50"/>
    </row>
    <row r="151">
      <c r="A151" s="50"/>
    </row>
    <row r="152">
      <c r="A152" s="50"/>
    </row>
    <row r="153">
      <c r="A153" s="50"/>
    </row>
    <row r="154">
      <c r="A154" s="50"/>
    </row>
    <row r="155">
      <c r="A155" s="50"/>
    </row>
    <row r="156">
      <c r="A156" s="50"/>
    </row>
    <row r="157">
      <c r="A157" s="50"/>
    </row>
    <row r="158">
      <c r="A158" s="50"/>
    </row>
    <row r="159">
      <c r="A159" s="50"/>
    </row>
    <row r="160">
      <c r="A160" s="50"/>
    </row>
    <row r="161">
      <c r="A161" s="50"/>
    </row>
    <row r="162">
      <c r="A162" s="50"/>
    </row>
    <row r="163">
      <c r="A163" s="50"/>
    </row>
    <row r="164">
      <c r="A164" s="50"/>
    </row>
    <row r="165">
      <c r="A165" s="50"/>
    </row>
    <row r="166">
      <c r="A166" s="50"/>
    </row>
    <row r="167">
      <c r="A167" s="50"/>
    </row>
    <row r="168">
      <c r="A168" s="50"/>
    </row>
    <row r="169">
      <c r="A169" s="50"/>
    </row>
    <row r="170">
      <c r="A170" s="50"/>
    </row>
    <row r="171">
      <c r="A171" s="50"/>
    </row>
    <row r="172">
      <c r="A172" s="50"/>
    </row>
    <row r="173">
      <c r="A173" s="50"/>
    </row>
    <row r="174">
      <c r="A174" s="50"/>
    </row>
    <row r="175">
      <c r="A175" s="50"/>
    </row>
    <row r="176">
      <c r="A176" s="50"/>
    </row>
    <row r="177">
      <c r="A177" s="50"/>
    </row>
    <row r="178">
      <c r="A178" s="50"/>
    </row>
    <row r="179">
      <c r="A179" s="50"/>
    </row>
    <row r="180">
      <c r="A180" s="50"/>
    </row>
    <row r="181">
      <c r="A181" s="50"/>
    </row>
    <row r="182">
      <c r="A182" s="50"/>
    </row>
    <row r="183">
      <c r="A183" s="50"/>
    </row>
    <row r="184">
      <c r="A184" s="50"/>
    </row>
    <row r="185">
      <c r="A185" s="50"/>
    </row>
    <row r="186">
      <c r="A186" s="50"/>
    </row>
    <row r="187">
      <c r="A187" s="50"/>
    </row>
    <row r="188">
      <c r="A188" s="50"/>
    </row>
    <row r="189">
      <c r="A189" s="50"/>
    </row>
    <row r="190">
      <c r="A190" s="50"/>
    </row>
    <row r="191">
      <c r="A191" s="50"/>
    </row>
    <row r="192">
      <c r="A192" s="50"/>
    </row>
    <row r="193">
      <c r="A193" s="50"/>
    </row>
    <row r="194">
      <c r="A194" s="50"/>
    </row>
    <row r="195">
      <c r="A195" s="50"/>
    </row>
    <row r="196">
      <c r="A196" s="50"/>
    </row>
    <row r="197">
      <c r="A197" s="50"/>
    </row>
    <row r="198">
      <c r="A198" s="50"/>
    </row>
    <row r="199">
      <c r="A199" s="50"/>
    </row>
    <row r="200">
      <c r="A200" s="50"/>
    </row>
    <row r="201">
      <c r="A201" s="50"/>
    </row>
    <row r="202">
      <c r="A202" s="50"/>
    </row>
    <row r="203">
      <c r="A203" s="50"/>
    </row>
    <row r="204">
      <c r="A204" s="50"/>
    </row>
    <row r="205">
      <c r="A205" s="50"/>
    </row>
    <row r="206">
      <c r="A206" s="50"/>
    </row>
    <row r="207">
      <c r="A207" s="50"/>
    </row>
    <row r="208">
      <c r="A208" s="50"/>
    </row>
    <row r="209">
      <c r="A209" s="50"/>
    </row>
    <row r="210">
      <c r="A210" s="50"/>
    </row>
    <row r="211">
      <c r="A211" s="50"/>
    </row>
    <row r="212">
      <c r="A212" s="50"/>
    </row>
    <row r="213">
      <c r="A213" s="50"/>
    </row>
    <row r="214">
      <c r="A214" s="50"/>
    </row>
    <row r="215">
      <c r="A215" s="50"/>
    </row>
    <row r="216">
      <c r="A216" s="50"/>
    </row>
    <row r="217">
      <c r="A217" s="50"/>
    </row>
    <row r="218">
      <c r="A218" s="50"/>
    </row>
    <row r="219">
      <c r="A219" s="50"/>
    </row>
    <row r="220">
      <c r="A220" s="50"/>
    </row>
    <row r="221">
      <c r="A221" s="50"/>
    </row>
    <row r="222">
      <c r="A222" s="50"/>
    </row>
    <row r="223">
      <c r="A223" s="50"/>
    </row>
    <row r="224">
      <c r="A224" s="50"/>
    </row>
    <row r="225">
      <c r="A225" s="50"/>
    </row>
    <row r="226">
      <c r="A226" s="50"/>
    </row>
    <row r="227">
      <c r="A227" s="50"/>
    </row>
    <row r="228">
      <c r="A228" s="50"/>
    </row>
    <row r="229">
      <c r="A229" s="50"/>
    </row>
    <row r="230">
      <c r="A230" s="50"/>
    </row>
    <row r="231">
      <c r="A231" s="50"/>
    </row>
    <row r="232">
      <c r="A232" s="50"/>
    </row>
    <row r="233">
      <c r="A233" s="50"/>
    </row>
    <row r="234">
      <c r="A234" s="50"/>
    </row>
    <row r="235">
      <c r="A235" s="50"/>
    </row>
    <row r="236">
      <c r="A236" s="50"/>
    </row>
    <row r="237">
      <c r="A237" s="50"/>
    </row>
    <row r="238">
      <c r="A238" s="50"/>
    </row>
    <row r="239">
      <c r="A239" s="50"/>
    </row>
    <row r="240">
      <c r="A240" s="50"/>
    </row>
    <row r="241">
      <c r="A241" s="50"/>
    </row>
    <row r="242">
      <c r="A242" s="50"/>
    </row>
    <row r="243">
      <c r="A243" s="50"/>
    </row>
    <row r="244">
      <c r="A244" s="50"/>
    </row>
    <row r="245">
      <c r="A245" s="50"/>
    </row>
    <row r="246">
      <c r="A246" s="50"/>
    </row>
    <row r="247">
      <c r="A247" s="50"/>
    </row>
    <row r="248">
      <c r="A248" s="50"/>
    </row>
    <row r="249">
      <c r="A249" s="50"/>
    </row>
    <row r="250">
      <c r="A250" s="50"/>
    </row>
    <row r="251">
      <c r="A251" s="50"/>
    </row>
    <row r="252">
      <c r="A252" s="50"/>
    </row>
    <row r="253">
      <c r="A253" s="50"/>
    </row>
    <row r="254">
      <c r="A254" s="50"/>
    </row>
    <row r="255">
      <c r="A255" s="50"/>
    </row>
    <row r="256">
      <c r="A256" s="50"/>
    </row>
    <row r="257">
      <c r="A257" s="50"/>
    </row>
    <row r="258">
      <c r="A258" s="50"/>
    </row>
    <row r="259">
      <c r="A259" s="50"/>
    </row>
    <row r="260">
      <c r="A260" s="50"/>
    </row>
    <row r="261">
      <c r="A261" s="50"/>
    </row>
    <row r="262">
      <c r="A262" s="50"/>
    </row>
    <row r="263">
      <c r="A263" s="50"/>
    </row>
    <row r="264">
      <c r="A264" s="50"/>
    </row>
    <row r="265">
      <c r="A265" s="50"/>
    </row>
    <row r="266">
      <c r="A266" s="50"/>
    </row>
    <row r="267">
      <c r="A267" s="50"/>
    </row>
    <row r="268">
      <c r="A268" s="50"/>
    </row>
    <row r="269">
      <c r="A269" s="50"/>
    </row>
    <row r="270">
      <c r="A270" s="50"/>
    </row>
    <row r="271">
      <c r="A271" s="50"/>
    </row>
    <row r="272">
      <c r="A272" s="50"/>
    </row>
    <row r="273">
      <c r="A273" s="50"/>
    </row>
    <row r="274">
      <c r="A274" s="50"/>
    </row>
    <row r="275">
      <c r="A275" s="50"/>
    </row>
    <row r="276">
      <c r="A276" s="50"/>
    </row>
    <row r="277">
      <c r="A277" s="50"/>
    </row>
    <row r="278">
      <c r="A278" s="50"/>
    </row>
    <row r="279">
      <c r="A279" s="50"/>
    </row>
    <row r="280">
      <c r="A280" s="50"/>
    </row>
    <row r="281">
      <c r="A281" s="50"/>
    </row>
    <row r="282">
      <c r="A282" s="50"/>
    </row>
    <row r="283">
      <c r="A283" s="50"/>
    </row>
    <row r="284">
      <c r="A284" s="50"/>
    </row>
    <row r="285">
      <c r="A285" s="50"/>
    </row>
    <row r="286">
      <c r="A286" s="50"/>
    </row>
    <row r="287">
      <c r="A287" s="50"/>
    </row>
    <row r="288">
      <c r="A288" s="50"/>
    </row>
    <row r="289">
      <c r="A289" s="50"/>
    </row>
    <row r="290">
      <c r="A290" s="50"/>
    </row>
    <row r="291">
      <c r="A291" s="50"/>
    </row>
    <row r="292">
      <c r="A292" s="50"/>
    </row>
    <row r="293">
      <c r="A293" s="50"/>
    </row>
    <row r="294">
      <c r="A294" s="50"/>
    </row>
    <row r="295">
      <c r="A295" s="50"/>
    </row>
    <row r="296">
      <c r="A296" s="50"/>
    </row>
    <row r="297">
      <c r="A297" s="50"/>
    </row>
    <row r="298">
      <c r="A298" s="50"/>
    </row>
    <row r="299">
      <c r="A299" s="50"/>
    </row>
    <row r="300">
      <c r="A300" s="50"/>
    </row>
    <row r="301">
      <c r="A301" s="50"/>
    </row>
    <row r="302">
      <c r="A302" s="50"/>
    </row>
    <row r="303">
      <c r="A303" s="50"/>
    </row>
    <row r="304">
      <c r="A304" s="50"/>
    </row>
    <row r="305">
      <c r="A305" s="50"/>
    </row>
    <row r="306">
      <c r="A306" s="50"/>
    </row>
    <row r="307">
      <c r="A307" s="50"/>
    </row>
    <row r="308">
      <c r="A308" s="50"/>
    </row>
    <row r="309">
      <c r="A309" s="50"/>
    </row>
    <row r="310">
      <c r="A310" s="50"/>
    </row>
    <row r="311">
      <c r="A311" s="50"/>
    </row>
    <row r="312">
      <c r="A312" s="50"/>
    </row>
    <row r="313">
      <c r="A313" s="50"/>
    </row>
    <row r="314">
      <c r="A314" s="50"/>
    </row>
    <row r="315">
      <c r="A315" s="50"/>
    </row>
    <row r="316">
      <c r="A316" s="50"/>
    </row>
    <row r="317">
      <c r="A317" s="50"/>
    </row>
    <row r="318">
      <c r="A318" s="50"/>
    </row>
    <row r="319">
      <c r="A319" s="50"/>
    </row>
    <row r="320">
      <c r="A320" s="50"/>
    </row>
    <row r="321">
      <c r="A321" s="50"/>
    </row>
    <row r="322">
      <c r="A322" s="50"/>
    </row>
    <row r="323">
      <c r="A323" s="50"/>
    </row>
    <row r="324">
      <c r="A324" s="50"/>
    </row>
    <row r="325">
      <c r="A325" s="50"/>
    </row>
    <row r="326">
      <c r="A326" s="50"/>
    </row>
    <row r="327">
      <c r="A327" s="50"/>
    </row>
    <row r="328">
      <c r="A328" s="50"/>
    </row>
    <row r="329">
      <c r="A329" s="50"/>
    </row>
    <row r="330">
      <c r="A330" s="50"/>
    </row>
    <row r="331">
      <c r="A331" s="50"/>
    </row>
    <row r="332">
      <c r="A332" s="50"/>
    </row>
    <row r="333">
      <c r="A333" s="50"/>
    </row>
    <row r="334">
      <c r="A334" s="50"/>
    </row>
    <row r="335">
      <c r="A335" s="50"/>
    </row>
    <row r="336">
      <c r="A336" s="50"/>
    </row>
    <row r="337">
      <c r="A337" s="50"/>
    </row>
    <row r="338">
      <c r="A338" s="50"/>
    </row>
    <row r="339">
      <c r="A339" s="50"/>
    </row>
    <row r="340">
      <c r="A340" s="50"/>
    </row>
    <row r="341">
      <c r="A341" s="50"/>
    </row>
    <row r="342">
      <c r="A342" s="50"/>
    </row>
    <row r="343">
      <c r="A343" s="50"/>
    </row>
    <row r="344">
      <c r="A344" s="50"/>
    </row>
    <row r="345">
      <c r="A345" s="50"/>
    </row>
    <row r="346">
      <c r="A346" s="50"/>
    </row>
    <row r="347">
      <c r="A347" s="50"/>
    </row>
    <row r="348">
      <c r="A348" s="50"/>
    </row>
    <row r="349">
      <c r="A349" s="50"/>
    </row>
    <row r="350">
      <c r="A350" s="50"/>
    </row>
    <row r="351">
      <c r="A351" s="50"/>
    </row>
    <row r="352">
      <c r="A352" s="50"/>
    </row>
    <row r="353">
      <c r="A353" s="50"/>
    </row>
    <row r="354">
      <c r="A354" s="50"/>
    </row>
    <row r="355">
      <c r="A355" s="50"/>
    </row>
    <row r="356">
      <c r="A356" s="50"/>
    </row>
    <row r="357">
      <c r="A357" s="50"/>
    </row>
    <row r="358">
      <c r="A358" s="50"/>
    </row>
    <row r="359">
      <c r="A359" s="50"/>
    </row>
    <row r="360">
      <c r="A360" s="50"/>
    </row>
    <row r="361">
      <c r="A361" s="50"/>
    </row>
    <row r="362">
      <c r="A362" s="50"/>
    </row>
    <row r="363">
      <c r="A363" s="50"/>
    </row>
    <row r="364">
      <c r="A364" s="50"/>
    </row>
    <row r="365">
      <c r="A365" s="50"/>
    </row>
    <row r="366">
      <c r="A366" s="50"/>
    </row>
    <row r="367">
      <c r="A367" s="50"/>
    </row>
    <row r="368">
      <c r="A368" s="50"/>
    </row>
    <row r="369">
      <c r="A369" s="50"/>
    </row>
    <row r="370">
      <c r="A370" s="50"/>
    </row>
    <row r="371">
      <c r="A371" s="50"/>
    </row>
    <row r="372">
      <c r="A372" s="50"/>
    </row>
    <row r="373">
      <c r="A373" s="50"/>
    </row>
    <row r="374">
      <c r="A374" s="50"/>
    </row>
    <row r="375">
      <c r="A375" s="50"/>
    </row>
    <row r="376">
      <c r="A376" s="50"/>
    </row>
    <row r="377">
      <c r="A377" s="50"/>
    </row>
    <row r="378">
      <c r="A378" s="50"/>
    </row>
    <row r="379">
      <c r="A379" s="50"/>
    </row>
    <row r="380">
      <c r="A380" s="50"/>
    </row>
    <row r="381">
      <c r="A381" s="50"/>
    </row>
    <row r="382">
      <c r="A382" s="50"/>
    </row>
    <row r="383">
      <c r="A383" s="50"/>
    </row>
    <row r="384">
      <c r="A384" s="50"/>
    </row>
    <row r="385">
      <c r="A385" s="50"/>
    </row>
    <row r="386">
      <c r="A386" s="50"/>
    </row>
    <row r="387">
      <c r="A387" s="50"/>
    </row>
    <row r="388">
      <c r="A388" s="50"/>
    </row>
    <row r="389">
      <c r="A389" s="50"/>
    </row>
    <row r="390">
      <c r="A390" s="50"/>
    </row>
    <row r="391">
      <c r="A391" s="50"/>
    </row>
    <row r="392">
      <c r="A392" s="50"/>
    </row>
    <row r="393">
      <c r="A393" s="50"/>
    </row>
    <row r="394">
      <c r="A394" s="50"/>
    </row>
    <row r="395">
      <c r="A395" s="50"/>
    </row>
    <row r="396">
      <c r="A396" s="50"/>
    </row>
    <row r="397">
      <c r="A397" s="50"/>
    </row>
    <row r="398">
      <c r="A398" s="50"/>
    </row>
    <row r="399">
      <c r="A399" s="50"/>
    </row>
    <row r="400">
      <c r="A400" s="50"/>
    </row>
    <row r="401">
      <c r="A401" s="50"/>
    </row>
    <row r="402">
      <c r="A402" s="50"/>
    </row>
    <row r="403">
      <c r="A403" s="50"/>
    </row>
    <row r="404">
      <c r="A404" s="50"/>
    </row>
    <row r="405">
      <c r="A405" s="50"/>
    </row>
    <row r="406">
      <c r="A406" s="50"/>
    </row>
    <row r="407">
      <c r="A407" s="50"/>
    </row>
    <row r="408">
      <c r="A408" s="50"/>
    </row>
    <row r="409">
      <c r="A409" s="50"/>
    </row>
    <row r="410">
      <c r="A410" s="50"/>
    </row>
    <row r="411">
      <c r="A411" s="50"/>
    </row>
    <row r="412">
      <c r="A412" s="50"/>
    </row>
    <row r="413">
      <c r="A413" s="50"/>
    </row>
    <row r="414">
      <c r="A414" s="50"/>
    </row>
    <row r="415">
      <c r="A415" s="50"/>
    </row>
    <row r="416">
      <c r="A416" s="50"/>
    </row>
    <row r="417">
      <c r="A417" s="50"/>
    </row>
    <row r="418">
      <c r="A418" s="50"/>
    </row>
    <row r="419">
      <c r="A419" s="50"/>
    </row>
    <row r="420">
      <c r="A420" s="50"/>
    </row>
    <row r="421">
      <c r="A421" s="50"/>
    </row>
    <row r="422">
      <c r="A422" s="50"/>
    </row>
    <row r="423">
      <c r="A423" s="50"/>
    </row>
    <row r="424">
      <c r="A424" s="50"/>
    </row>
    <row r="425">
      <c r="A425" s="50"/>
    </row>
    <row r="426">
      <c r="A426" s="50"/>
    </row>
    <row r="427">
      <c r="A427" s="50"/>
    </row>
    <row r="428">
      <c r="A428" s="50"/>
    </row>
    <row r="429">
      <c r="A429" s="50"/>
    </row>
    <row r="430">
      <c r="A430" s="50"/>
    </row>
    <row r="431">
      <c r="A431" s="50"/>
    </row>
    <row r="432">
      <c r="A432" s="50"/>
    </row>
    <row r="433">
      <c r="A433" s="50"/>
    </row>
    <row r="434">
      <c r="A434" s="50"/>
    </row>
    <row r="435">
      <c r="A435" s="50"/>
    </row>
    <row r="436">
      <c r="A436" s="50"/>
    </row>
    <row r="437">
      <c r="A437" s="50"/>
    </row>
    <row r="438">
      <c r="A438" s="50"/>
    </row>
    <row r="439">
      <c r="A439" s="50"/>
    </row>
    <row r="440">
      <c r="A440" s="50"/>
    </row>
    <row r="441">
      <c r="A441" s="50"/>
    </row>
    <row r="442">
      <c r="A442" s="50"/>
    </row>
    <row r="443">
      <c r="A443" s="50"/>
    </row>
    <row r="444">
      <c r="A444" s="50"/>
    </row>
    <row r="445">
      <c r="A445" s="50"/>
    </row>
    <row r="446">
      <c r="A446" s="50"/>
    </row>
    <row r="447">
      <c r="A447" s="50"/>
    </row>
    <row r="448">
      <c r="A448" s="50"/>
    </row>
    <row r="449">
      <c r="A449" s="50"/>
    </row>
    <row r="450">
      <c r="A450" s="50"/>
    </row>
    <row r="451">
      <c r="A451" s="50"/>
    </row>
    <row r="452">
      <c r="A452" s="50"/>
    </row>
    <row r="453">
      <c r="A453" s="50"/>
    </row>
    <row r="454">
      <c r="A454" s="50"/>
    </row>
    <row r="455">
      <c r="A455" s="50"/>
    </row>
    <row r="456">
      <c r="A456" s="50"/>
    </row>
    <row r="457">
      <c r="A457" s="50"/>
    </row>
    <row r="458">
      <c r="A458" s="50"/>
    </row>
    <row r="459">
      <c r="A459" s="50"/>
    </row>
    <row r="460">
      <c r="A460" s="50"/>
    </row>
    <row r="461">
      <c r="A461" s="50"/>
    </row>
    <row r="462">
      <c r="A462" s="50"/>
    </row>
    <row r="463">
      <c r="A463" s="50"/>
    </row>
    <row r="464">
      <c r="A464" s="50"/>
    </row>
    <row r="465">
      <c r="A465" s="50"/>
    </row>
    <row r="466">
      <c r="A466" s="50"/>
    </row>
    <row r="467">
      <c r="A467" s="50"/>
    </row>
    <row r="468">
      <c r="A468" s="50"/>
    </row>
    <row r="469">
      <c r="A469" s="50"/>
    </row>
    <row r="470">
      <c r="A470" s="50"/>
    </row>
    <row r="471">
      <c r="A471" s="50"/>
    </row>
    <row r="472">
      <c r="A472" s="50"/>
    </row>
    <row r="473">
      <c r="A473" s="50"/>
    </row>
    <row r="474">
      <c r="A474" s="50"/>
    </row>
    <row r="475">
      <c r="A475" s="50"/>
    </row>
    <row r="476">
      <c r="A476" s="50"/>
    </row>
    <row r="477">
      <c r="A477" s="50"/>
    </row>
    <row r="478">
      <c r="A478" s="50"/>
    </row>
    <row r="479">
      <c r="A479" s="50"/>
    </row>
    <row r="480">
      <c r="A480" s="50"/>
    </row>
    <row r="481">
      <c r="A481" s="50"/>
    </row>
    <row r="482">
      <c r="A482" s="50"/>
    </row>
    <row r="483">
      <c r="A483" s="50"/>
    </row>
    <row r="484">
      <c r="A484" s="50"/>
    </row>
    <row r="485">
      <c r="A485" s="50"/>
    </row>
    <row r="486">
      <c r="A486" s="50"/>
    </row>
    <row r="487">
      <c r="A487" s="50"/>
    </row>
    <row r="488">
      <c r="A488" s="50"/>
    </row>
    <row r="489">
      <c r="A489" s="50"/>
    </row>
    <row r="490">
      <c r="A490" s="50"/>
    </row>
    <row r="491">
      <c r="A491" s="50"/>
    </row>
    <row r="492">
      <c r="A492" s="50"/>
    </row>
    <row r="493">
      <c r="A493" s="50"/>
    </row>
    <row r="494">
      <c r="A494" s="50"/>
    </row>
    <row r="495">
      <c r="A495" s="50"/>
    </row>
    <row r="496">
      <c r="A496" s="50"/>
    </row>
    <row r="497">
      <c r="A497" s="50"/>
    </row>
    <row r="498">
      <c r="A498" s="50"/>
    </row>
    <row r="499">
      <c r="A499" s="50"/>
    </row>
    <row r="500">
      <c r="A500" s="50"/>
    </row>
    <row r="501">
      <c r="A501" s="50"/>
    </row>
    <row r="502">
      <c r="A502" s="50"/>
    </row>
    <row r="503">
      <c r="A503" s="50"/>
    </row>
    <row r="504">
      <c r="A504" s="50"/>
    </row>
    <row r="505">
      <c r="A505" s="50"/>
    </row>
    <row r="506">
      <c r="A506" s="50"/>
    </row>
    <row r="507">
      <c r="A507" s="50"/>
    </row>
    <row r="508">
      <c r="A508" s="50"/>
    </row>
    <row r="509">
      <c r="A509" s="50"/>
    </row>
    <row r="510">
      <c r="A510" s="50"/>
    </row>
    <row r="511">
      <c r="A511" s="50"/>
    </row>
    <row r="512">
      <c r="A512" s="50"/>
    </row>
    <row r="513">
      <c r="A513" s="50"/>
    </row>
    <row r="514">
      <c r="A514" s="50"/>
    </row>
    <row r="515">
      <c r="A515" s="50"/>
    </row>
    <row r="516">
      <c r="A516" s="50"/>
    </row>
    <row r="517">
      <c r="A517" s="50"/>
    </row>
    <row r="518">
      <c r="A518" s="50"/>
    </row>
    <row r="519">
      <c r="A519" s="50"/>
    </row>
    <row r="520">
      <c r="A520" s="50"/>
    </row>
    <row r="521">
      <c r="A521" s="50"/>
    </row>
    <row r="522">
      <c r="A522" s="50"/>
    </row>
    <row r="523">
      <c r="A523" s="50"/>
    </row>
    <row r="524">
      <c r="A524" s="50"/>
    </row>
    <row r="525">
      <c r="A525" s="50"/>
    </row>
    <row r="526">
      <c r="A526" s="50"/>
    </row>
    <row r="527">
      <c r="A527" s="50"/>
    </row>
    <row r="528">
      <c r="A528" s="50"/>
    </row>
    <row r="529">
      <c r="A529" s="50"/>
    </row>
    <row r="530">
      <c r="A530" s="50"/>
    </row>
    <row r="531">
      <c r="A531" s="50"/>
    </row>
    <row r="532">
      <c r="A532" s="50"/>
    </row>
    <row r="533">
      <c r="A533" s="50"/>
    </row>
    <row r="534">
      <c r="A534" s="50"/>
    </row>
    <row r="535">
      <c r="A535" s="50"/>
    </row>
    <row r="536">
      <c r="A536" s="50"/>
    </row>
    <row r="537">
      <c r="A537" s="50"/>
    </row>
    <row r="538">
      <c r="A538" s="50"/>
    </row>
    <row r="539">
      <c r="A539" s="50"/>
    </row>
    <row r="540">
      <c r="A540" s="50"/>
    </row>
    <row r="541">
      <c r="A541" s="50"/>
    </row>
    <row r="542">
      <c r="A542" s="50"/>
    </row>
    <row r="543">
      <c r="A543" s="50"/>
    </row>
    <row r="544">
      <c r="A544" s="50"/>
    </row>
    <row r="545">
      <c r="A545" s="50"/>
    </row>
    <row r="546">
      <c r="A546" s="50"/>
    </row>
    <row r="547">
      <c r="A547" s="50"/>
    </row>
    <row r="548">
      <c r="A548" s="50"/>
    </row>
    <row r="549">
      <c r="A549" s="50"/>
    </row>
    <row r="550">
      <c r="A550" s="50"/>
    </row>
    <row r="551">
      <c r="A551" s="50"/>
    </row>
    <row r="552">
      <c r="A552" s="50"/>
    </row>
    <row r="553">
      <c r="A553" s="50"/>
    </row>
    <row r="554">
      <c r="A554" s="50"/>
    </row>
    <row r="555">
      <c r="A555" s="50"/>
    </row>
    <row r="556">
      <c r="A556" s="50"/>
    </row>
    <row r="557">
      <c r="A557" s="50"/>
    </row>
    <row r="558">
      <c r="A558" s="50"/>
    </row>
    <row r="559">
      <c r="A559" s="50"/>
    </row>
    <row r="560">
      <c r="A560" s="50"/>
    </row>
    <row r="561">
      <c r="A561" s="50"/>
    </row>
    <row r="562">
      <c r="A562" s="50"/>
    </row>
    <row r="563">
      <c r="A563" s="50"/>
    </row>
    <row r="564">
      <c r="A564" s="50"/>
    </row>
    <row r="565">
      <c r="A565" s="50"/>
    </row>
    <row r="566">
      <c r="A566" s="50"/>
    </row>
    <row r="567">
      <c r="A567" s="50"/>
    </row>
    <row r="568">
      <c r="A568" s="50"/>
    </row>
    <row r="569">
      <c r="A569" s="50"/>
    </row>
    <row r="570">
      <c r="A570" s="50"/>
    </row>
    <row r="571">
      <c r="A571" s="50"/>
    </row>
    <row r="572">
      <c r="A572" s="50"/>
    </row>
    <row r="573">
      <c r="A573" s="50"/>
    </row>
    <row r="574">
      <c r="A574" s="50"/>
    </row>
    <row r="575">
      <c r="A575" s="50"/>
    </row>
    <row r="576">
      <c r="A576" s="50"/>
    </row>
    <row r="577">
      <c r="A577" s="50"/>
    </row>
    <row r="578">
      <c r="A578" s="50"/>
    </row>
    <row r="579">
      <c r="A579" s="50"/>
    </row>
    <row r="580">
      <c r="A580" s="50"/>
    </row>
    <row r="581">
      <c r="A581" s="50"/>
    </row>
    <row r="582">
      <c r="A582" s="50"/>
    </row>
    <row r="583">
      <c r="A583" s="50"/>
    </row>
    <row r="584">
      <c r="A584" s="50"/>
    </row>
    <row r="585">
      <c r="A585" s="50"/>
    </row>
    <row r="586">
      <c r="A586" s="50"/>
    </row>
    <row r="587">
      <c r="A587" s="50"/>
    </row>
    <row r="588">
      <c r="A588" s="50"/>
    </row>
    <row r="589">
      <c r="A589" s="50"/>
    </row>
    <row r="590">
      <c r="A590" s="50"/>
    </row>
    <row r="591">
      <c r="A591" s="50"/>
    </row>
    <row r="592">
      <c r="A592" s="50"/>
    </row>
    <row r="593">
      <c r="A593" s="50"/>
    </row>
    <row r="594">
      <c r="A594" s="50"/>
    </row>
    <row r="595">
      <c r="A595" s="50"/>
    </row>
    <row r="596">
      <c r="A596" s="50"/>
    </row>
    <row r="597">
      <c r="A597" s="50"/>
    </row>
    <row r="598">
      <c r="A598" s="50"/>
    </row>
    <row r="599">
      <c r="A599" s="50"/>
    </row>
    <row r="600">
      <c r="A600" s="50"/>
    </row>
    <row r="601">
      <c r="A601" s="50"/>
    </row>
    <row r="602">
      <c r="A602" s="50"/>
    </row>
    <row r="603">
      <c r="A603" s="50"/>
    </row>
    <row r="604">
      <c r="A604" s="50"/>
    </row>
    <row r="605">
      <c r="A605" s="50"/>
    </row>
    <row r="606">
      <c r="A606" s="50"/>
    </row>
    <row r="607">
      <c r="A607" s="50"/>
    </row>
    <row r="608">
      <c r="A608" s="50"/>
    </row>
    <row r="609">
      <c r="A609" s="50"/>
    </row>
    <row r="610">
      <c r="A610" s="50"/>
    </row>
    <row r="611">
      <c r="A611" s="50"/>
    </row>
    <row r="612">
      <c r="A612" s="50"/>
    </row>
    <row r="613">
      <c r="A613" s="50"/>
    </row>
    <row r="614">
      <c r="A614" s="50"/>
    </row>
    <row r="615">
      <c r="A615" s="50"/>
    </row>
    <row r="616">
      <c r="A616" s="50"/>
    </row>
    <row r="617">
      <c r="A617" s="50"/>
    </row>
    <row r="618">
      <c r="A618" s="50"/>
    </row>
    <row r="619">
      <c r="A619" s="50"/>
    </row>
    <row r="620">
      <c r="A620" s="50"/>
    </row>
    <row r="621">
      <c r="A621" s="50"/>
    </row>
    <row r="622">
      <c r="A622" s="50"/>
    </row>
    <row r="623">
      <c r="A623" s="50"/>
    </row>
    <row r="624">
      <c r="A624" s="50"/>
    </row>
    <row r="625">
      <c r="A625" s="50"/>
    </row>
    <row r="626">
      <c r="A626" s="50"/>
    </row>
    <row r="627">
      <c r="A627" s="50"/>
    </row>
    <row r="628">
      <c r="A628" s="50"/>
    </row>
    <row r="629">
      <c r="A629" s="50"/>
    </row>
    <row r="630">
      <c r="A630" s="50"/>
    </row>
    <row r="631">
      <c r="A631" s="50"/>
    </row>
    <row r="632">
      <c r="A632" s="50"/>
    </row>
    <row r="633">
      <c r="A633" s="50"/>
    </row>
    <row r="634">
      <c r="A634" s="50"/>
    </row>
    <row r="635">
      <c r="A635" s="50"/>
    </row>
    <row r="636">
      <c r="A636" s="50"/>
    </row>
    <row r="637">
      <c r="A637" s="50"/>
    </row>
    <row r="638">
      <c r="A638" s="50"/>
    </row>
    <row r="639">
      <c r="A639" s="50"/>
    </row>
    <row r="640">
      <c r="A640" s="50"/>
    </row>
    <row r="641">
      <c r="A641" s="50"/>
    </row>
    <row r="642">
      <c r="A642" s="50"/>
    </row>
    <row r="643">
      <c r="A643" s="50"/>
    </row>
    <row r="644">
      <c r="A644" s="50"/>
    </row>
    <row r="645">
      <c r="A645" s="50"/>
    </row>
    <row r="646">
      <c r="A646" s="50"/>
    </row>
    <row r="647">
      <c r="A647" s="50"/>
    </row>
    <row r="648">
      <c r="A648" s="50"/>
    </row>
    <row r="649">
      <c r="A649" s="50"/>
    </row>
    <row r="650">
      <c r="A650" s="50"/>
    </row>
    <row r="651">
      <c r="A651" s="50"/>
    </row>
    <row r="652">
      <c r="A652" s="50"/>
    </row>
    <row r="653">
      <c r="A653" s="50"/>
    </row>
    <row r="654">
      <c r="A654" s="50"/>
    </row>
    <row r="655">
      <c r="A655" s="50"/>
    </row>
    <row r="656">
      <c r="A656" s="50"/>
    </row>
    <row r="657">
      <c r="A657" s="50"/>
    </row>
    <row r="658">
      <c r="A658" s="50"/>
    </row>
    <row r="659">
      <c r="A659" s="50"/>
    </row>
    <row r="660">
      <c r="A660" s="50"/>
    </row>
    <row r="661">
      <c r="A661" s="50"/>
    </row>
    <row r="662">
      <c r="A662" s="50"/>
    </row>
    <row r="663">
      <c r="A663" s="50"/>
    </row>
    <row r="664">
      <c r="A664" s="50"/>
    </row>
    <row r="665">
      <c r="A665" s="50"/>
    </row>
    <row r="666">
      <c r="A666" s="50"/>
    </row>
    <row r="667">
      <c r="A667" s="50"/>
    </row>
    <row r="668">
      <c r="A668" s="50"/>
    </row>
    <row r="669">
      <c r="A669" s="50"/>
    </row>
    <row r="670">
      <c r="A670" s="50"/>
    </row>
    <row r="671">
      <c r="A671" s="50"/>
    </row>
    <row r="672">
      <c r="A672" s="50"/>
    </row>
    <row r="673">
      <c r="A673" s="50"/>
    </row>
    <row r="674">
      <c r="A674" s="50"/>
    </row>
    <row r="675">
      <c r="A675" s="50"/>
    </row>
    <row r="676">
      <c r="A676" s="50"/>
    </row>
    <row r="677">
      <c r="A677" s="50"/>
    </row>
    <row r="678">
      <c r="A678" s="50"/>
    </row>
    <row r="679">
      <c r="A679" s="50"/>
    </row>
    <row r="680">
      <c r="A680" s="50"/>
    </row>
    <row r="681">
      <c r="A681" s="50"/>
    </row>
    <row r="682">
      <c r="A682" s="50"/>
    </row>
    <row r="683">
      <c r="A683" s="50"/>
    </row>
    <row r="684">
      <c r="A684" s="50"/>
    </row>
    <row r="685">
      <c r="A685" s="50"/>
    </row>
    <row r="686">
      <c r="A686" s="50"/>
    </row>
    <row r="687">
      <c r="A687" s="50"/>
    </row>
    <row r="688">
      <c r="A688" s="50"/>
    </row>
    <row r="689">
      <c r="A689" s="50"/>
    </row>
    <row r="690">
      <c r="A690" s="50"/>
    </row>
    <row r="691">
      <c r="A691" s="50"/>
    </row>
    <row r="692">
      <c r="A692" s="50"/>
    </row>
    <row r="693">
      <c r="A693" s="50"/>
    </row>
    <row r="694">
      <c r="A694" s="50"/>
    </row>
    <row r="695">
      <c r="A695" s="50"/>
    </row>
    <row r="696">
      <c r="A696" s="50"/>
    </row>
    <row r="697">
      <c r="A697" s="50"/>
    </row>
    <row r="698">
      <c r="A698" s="50"/>
    </row>
    <row r="699">
      <c r="A699" s="50"/>
    </row>
    <row r="700">
      <c r="A700" s="50"/>
    </row>
    <row r="701">
      <c r="A701" s="50"/>
    </row>
    <row r="702">
      <c r="A702" s="50"/>
    </row>
    <row r="703">
      <c r="A703" s="50"/>
    </row>
    <row r="704">
      <c r="A704" s="50"/>
    </row>
    <row r="705">
      <c r="A705" s="50"/>
    </row>
    <row r="706">
      <c r="A706" s="50"/>
    </row>
    <row r="707">
      <c r="A707" s="50"/>
    </row>
    <row r="708">
      <c r="A708" s="50"/>
    </row>
    <row r="709">
      <c r="A709" s="50"/>
    </row>
    <row r="710">
      <c r="A710" s="50"/>
    </row>
    <row r="711">
      <c r="A711" s="50"/>
    </row>
    <row r="712">
      <c r="A712" s="50"/>
    </row>
    <row r="713">
      <c r="A713" s="50"/>
    </row>
    <row r="714">
      <c r="A714" s="50"/>
    </row>
    <row r="715">
      <c r="A715" s="50"/>
    </row>
    <row r="716">
      <c r="A716" s="50"/>
    </row>
    <row r="717">
      <c r="A717" s="50"/>
    </row>
    <row r="718">
      <c r="A718" s="50"/>
    </row>
    <row r="719">
      <c r="A719" s="50"/>
    </row>
    <row r="720">
      <c r="A720" s="50"/>
    </row>
    <row r="721">
      <c r="A721" s="50"/>
    </row>
    <row r="722">
      <c r="A722" s="50"/>
    </row>
    <row r="723">
      <c r="A723" s="50"/>
    </row>
    <row r="724">
      <c r="A724" s="50"/>
    </row>
    <row r="725">
      <c r="A725" s="50"/>
    </row>
    <row r="726">
      <c r="A726" s="50"/>
    </row>
    <row r="727">
      <c r="A727" s="50"/>
    </row>
    <row r="728">
      <c r="A728" s="50"/>
    </row>
    <row r="729">
      <c r="A729" s="50"/>
    </row>
    <row r="730">
      <c r="A730" s="50"/>
    </row>
    <row r="731">
      <c r="A731" s="50"/>
    </row>
    <row r="732">
      <c r="A732" s="50"/>
    </row>
    <row r="733">
      <c r="A733" s="50"/>
    </row>
    <row r="734">
      <c r="A734" s="50"/>
    </row>
    <row r="735">
      <c r="A735" s="50"/>
    </row>
    <row r="736">
      <c r="A736" s="50"/>
    </row>
    <row r="737">
      <c r="A737" s="50"/>
    </row>
    <row r="738">
      <c r="A738" s="50"/>
    </row>
    <row r="739">
      <c r="A739" s="50"/>
    </row>
    <row r="740">
      <c r="A740" s="50"/>
    </row>
    <row r="741">
      <c r="A741" s="50"/>
    </row>
    <row r="742">
      <c r="A742" s="50"/>
    </row>
    <row r="743">
      <c r="A743" s="50"/>
    </row>
    <row r="744">
      <c r="A744" s="50"/>
    </row>
    <row r="745">
      <c r="A745" s="50"/>
    </row>
    <row r="746">
      <c r="A746" s="50"/>
    </row>
    <row r="747">
      <c r="A747" s="50"/>
    </row>
    <row r="748">
      <c r="A748" s="50"/>
    </row>
    <row r="749">
      <c r="A749" s="50"/>
    </row>
    <row r="750">
      <c r="A750" s="50"/>
    </row>
    <row r="751">
      <c r="A751" s="50"/>
    </row>
    <row r="752">
      <c r="A752" s="50"/>
    </row>
    <row r="753">
      <c r="A753" s="50"/>
    </row>
    <row r="754">
      <c r="A754" s="50"/>
    </row>
    <row r="755">
      <c r="A755" s="50"/>
    </row>
    <row r="756">
      <c r="A756" s="50"/>
    </row>
    <row r="757">
      <c r="A757" s="50"/>
    </row>
    <row r="758">
      <c r="A758" s="50"/>
    </row>
    <row r="759">
      <c r="A759" s="50"/>
    </row>
    <row r="760">
      <c r="A760" s="50"/>
    </row>
    <row r="761">
      <c r="A761" s="50"/>
    </row>
    <row r="762">
      <c r="A762" s="50"/>
    </row>
    <row r="763">
      <c r="A763" s="50"/>
    </row>
    <row r="764">
      <c r="A764" s="50"/>
    </row>
    <row r="765">
      <c r="A765" s="50"/>
    </row>
    <row r="766">
      <c r="A766" s="50"/>
    </row>
    <row r="767">
      <c r="A767" s="50"/>
    </row>
    <row r="768">
      <c r="A768" s="50"/>
    </row>
    <row r="769">
      <c r="A769" s="50"/>
    </row>
    <row r="770">
      <c r="A770" s="50"/>
    </row>
    <row r="771">
      <c r="A771" s="50"/>
    </row>
    <row r="772">
      <c r="A772" s="50"/>
    </row>
    <row r="773">
      <c r="A773" s="50"/>
    </row>
    <row r="774">
      <c r="A774" s="50"/>
    </row>
    <row r="775">
      <c r="A775" s="50"/>
    </row>
    <row r="776">
      <c r="A776" s="50"/>
    </row>
    <row r="777">
      <c r="A777" s="50"/>
    </row>
    <row r="778">
      <c r="A778" s="50"/>
    </row>
    <row r="779">
      <c r="A779" s="50"/>
    </row>
    <row r="780">
      <c r="A780" s="50"/>
    </row>
    <row r="781">
      <c r="A781" s="50"/>
    </row>
    <row r="782">
      <c r="A782" s="50"/>
    </row>
    <row r="783">
      <c r="A783" s="50"/>
    </row>
    <row r="784">
      <c r="A784" s="50"/>
    </row>
    <row r="785">
      <c r="A785" s="50"/>
    </row>
    <row r="786">
      <c r="A786" s="50"/>
    </row>
    <row r="787">
      <c r="A787" s="50"/>
    </row>
    <row r="788">
      <c r="A788" s="50"/>
    </row>
    <row r="789">
      <c r="A789" s="50"/>
    </row>
    <row r="790">
      <c r="A790" s="50"/>
    </row>
    <row r="791">
      <c r="A791" s="50"/>
    </row>
    <row r="792">
      <c r="A792" s="50"/>
    </row>
    <row r="793">
      <c r="A793" s="50"/>
    </row>
    <row r="794">
      <c r="A794" s="50"/>
    </row>
    <row r="795">
      <c r="A795" s="50"/>
    </row>
    <row r="796">
      <c r="A796" s="50"/>
    </row>
    <row r="797">
      <c r="A797" s="50"/>
    </row>
    <row r="798">
      <c r="A798" s="50"/>
    </row>
    <row r="799">
      <c r="A799" s="50"/>
    </row>
    <row r="800">
      <c r="A800" s="50"/>
    </row>
    <row r="801">
      <c r="A801" s="50"/>
    </row>
    <row r="802">
      <c r="A802" s="50"/>
    </row>
    <row r="803">
      <c r="A803" s="50"/>
    </row>
    <row r="804">
      <c r="A804" s="50"/>
    </row>
    <row r="805">
      <c r="A805" s="50"/>
    </row>
    <row r="806">
      <c r="A806" s="50"/>
    </row>
    <row r="807">
      <c r="A807" s="50"/>
    </row>
    <row r="808">
      <c r="A808" s="50"/>
    </row>
    <row r="809">
      <c r="A809" s="50"/>
    </row>
    <row r="810">
      <c r="A810" s="50"/>
    </row>
    <row r="811">
      <c r="A811" s="50"/>
    </row>
    <row r="812">
      <c r="A812" s="50"/>
    </row>
    <row r="813">
      <c r="A813" s="50"/>
    </row>
    <row r="814">
      <c r="A814" s="50"/>
    </row>
    <row r="815">
      <c r="A815" s="50"/>
    </row>
    <row r="816">
      <c r="A816" s="50"/>
    </row>
    <row r="817">
      <c r="A817" s="50"/>
    </row>
    <row r="818">
      <c r="A818" s="50"/>
    </row>
    <row r="819">
      <c r="A819" s="50"/>
    </row>
    <row r="820">
      <c r="A820" s="50"/>
    </row>
    <row r="821">
      <c r="A821" s="50"/>
    </row>
    <row r="822">
      <c r="A822" s="50"/>
    </row>
    <row r="823">
      <c r="A823" s="50"/>
    </row>
    <row r="824">
      <c r="A824" s="50"/>
    </row>
    <row r="825">
      <c r="A825" s="50"/>
    </row>
    <row r="826">
      <c r="A826" s="50"/>
    </row>
    <row r="827">
      <c r="A827" s="50"/>
    </row>
    <row r="828">
      <c r="A828" s="50"/>
    </row>
    <row r="829">
      <c r="A829" s="50"/>
    </row>
    <row r="830">
      <c r="A830" s="50"/>
    </row>
    <row r="831">
      <c r="A831" s="50"/>
    </row>
    <row r="832">
      <c r="A832" s="50"/>
    </row>
    <row r="833">
      <c r="A833" s="50"/>
    </row>
    <row r="834">
      <c r="A834" s="50"/>
    </row>
    <row r="835">
      <c r="A835" s="50"/>
    </row>
    <row r="836">
      <c r="A836" s="50"/>
    </row>
    <row r="837">
      <c r="A837" s="50"/>
    </row>
    <row r="838">
      <c r="A838" s="50"/>
    </row>
    <row r="839">
      <c r="A839" s="50"/>
    </row>
    <row r="840">
      <c r="A840" s="50"/>
    </row>
    <row r="841">
      <c r="A841" s="50"/>
    </row>
    <row r="842">
      <c r="A842" s="50"/>
    </row>
    <row r="843">
      <c r="A843" s="50"/>
    </row>
    <row r="844">
      <c r="A844" s="50"/>
    </row>
    <row r="845">
      <c r="A845" s="50"/>
    </row>
    <row r="846">
      <c r="A846" s="50"/>
    </row>
    <row r="847">
      <c r="A847" s="50"/>
    </row>
    <row r="848">
      <c r="A848" s="50"/>
    </row>
    <row r="849">
      <c r="A849" s="50"/>
    </row>
    <row r="850">
      <c r="A850" s="50"/>
    </row>
    <row r="851">
      <c r="A851" s="50"/>
    </row>
    <row r="852">
      <c r="A852" s="50"/>
    </row>
    <row r="853">
      <c r="A853" s="50"/>
    </row>
    <row r="854">
      <c r="A854" s="50"/>
    </row>
    <row r="855">
      <c r="A855" s="50"/>
    </row>
    <row r="856">
      <c r="A856" s="50"/>
    </row>
    <row r="857">
      <c r="A857" s="50"/>
    </row>
    <row r="858">
      <c r="A858" s="50"/>
    </row>
    <row r="859">
      <c r="A859" s="50"/>
    </row>
    <row r="860">
      <c r="A860" s="50"/>
    </row>
    <row r="861">
      <c r="A861" s="50"/>
    </row>
    <row r="862">
      <c r="A862" s="50"/>
    </row>
    <row r="863">
      <c r="A863" s="50"/>
    </row>
    <row r="864">
      <c r="A864" s="50"/>
    </row>
    <row r="865">
      <c r="A865" s="50"/>
    </row>
    <row r="866">
      <c r="A866" s="50"/>
    </row>
    <row r="867">
      <c r="A867" s="50"/>
    </row>
    <row r="868">
      <c r="A868" s="50"/>
    </row>
    <row r="869">
      <c r="A869" s="50"/>
    </row>
    <row r="870">
      <c r="A870" s="50"/>
    </row>
    <row r="871">
      <c r="A871" s="50"/>
    </row>
    <row r="872">
      <c r="A872" s="50"/>
    </row>
    <row r="873">
      <c r="A873" s="50"/>
    </row>
    <row r="874">
      <c r="A874" s="50"/>
    </row>
    <row r="875">
      <c r="A875" s="50"/>
    </row>
    <row r="876">
      <c r="A876" s="50"/>
    </row>
    <row r="877">
      <c r="A877" s="50"/>
    </row>
    <row r="878">
      <c r="A878" s="50"/>
    </row>
    <row r="879">
      <c r="A879" s="50"/>
    </row>
    <row r="880">
      <c r="A880" s="50"/>
    </row>
    <row r="881">
      <c r="A881" s="50"/>
    </row>
    <row r="882">
      <c r="A882" s="50"/>
    </row>
    <row r="883">
      <c r="A883" s="50"/>
    </row>
    <row r="884">
      <c r="A884" s="50"/>
    </row>
    <row r="885">
      <c r="A885" s="50"/>
    </row>
    <row r="886">
      <c r="A886" s="50"/>
    </row>
    <row r="887">
      <c r="A887" s="50"/>
    </row>
    <row r="888">
      <c r="A888" s="50"/>
    </row>
    <row r="889">
      <c r="A889" s="50"/>
    </row>
    <row r="890">
      <c r="A890" s="50"/>
    </row>
    <row r="891">
      <c r="A891" s="50"/>
    </row>
    <row r="892">
      <c r="A892" s="50"/>
    </row>
    <row r="893">
      <c r="A893" s="50"/>
    </row>
    <row r="894">
      <c r="A894" s="50"/>
    </row>
    <row r="895">
      <c r="A895" s="50"/>
    </row>
    <row r="896">
      <c r="A896" s="50"/>
    </row>
    <row r="897">
      <c r="A897" s="50"/>
    </row>
    <row r="898">
      <c r="A898" s="50"/>
    </row>
    <row r="899">
      <c r="A899" s="50"/>
    </row>
    <row r="900">
      <c r="A900" s="50"/>
    </row>
    <row r="901">
      <c r="A901" s="50"/>
    </row>
    <row r="902">
      <c r="A902" s="50"/>
    </row>
    <row r="903">
      <c r="A903" s="50"/>
    </row>
    <row r="904">
      <c r="A904" s="50"/>
    </row>
    <row r="905">
      <c r="A905" s="50"/>
    </row>
    <row r="906">
      <c r="A906" s="50"/>
    </row>
    <row r="907">
      <c r="A907" s="50"/>
    </row>
    <row r="908">
      <c r="A908" s="50"/>
    </row>
    <row r="909">
      <c r="A909" s="50"/>
    </row>
    <row r="910">
      <c r="A910" s="50"/>
    </row>
    <row r="911">
      <c r="A911" s="50"/>
    </row>
    <row r="912">
      <c r="A912" s="50"/>
    </row>
    <row r="913">
      <c r="A913" s="50"/>
    </row>
    <row r="914">
      <c r="A914" s="50"/>
    </row>
    <row r="915">
      <c r="A915" s="50"/>
    </row>
    <row r="916">
      <c r="A916" s="50"/>
    </row>
    <row r="917">
      <c r="A917" s="50"/>
    </row>
    <row r="918">
      <c r="A918" s="50"/>
    </row>
    <row r="919">
      <c r="A919" s="50"/>
    </row>
    <row r="920">
      <c r="A920" s="50"/>
    </row>
    <row r="921">
      <c r="A921" s="50"/>
    </row>
    <row r="922">
      <c r="A922" s="50"/>
    </row>
    <row r="923">
      <c r="A923" s="50"/>
    </row>
    <row r="924">
      <c r="A924" s="50"/>
    </row>
    <row r="925">
      <c r="A925" s="50"/>
    </row>
    <row r="926">
      <c r="A926" s="50"/>
    </row>
    <row r="927">
      <c r="A927" s="50"/>
    </row>
    <row r="928">
      <c r="A928" s="50"/>
    </row>
    <row r="929">
      <c r="A929" s="50"/>
    </row>
    <row r="930">
      <c r="A930" s="50"/>
    </row>
    <row r="931">
      <c r="A931" s="50"/>
    </row>
    <row r="932">
      <c r="A932" s="50"/>
    </row>
    <row r="933">
      <c r="A933" s="50"/>
    </row>
    <row r="934">
      <c r="A934" s="50"/>
    </row>
    <row r="935">
      <c r="A935" s="50"/>
    </row>
    <row r="936">
      <c r="A936" s="50"/>
    </row>
    <row r="937">
      <c r="A937" s="50"/>
    </row>
    <row r="938">
      <c r="A938" s="50"/>
    </row>
    <row r="939">
      <c r="A939" s="50"/>
    </row>
    <row r="940">
      <c r="A940" s="50"/>
    </row>
    <row r="941">
      <c r="A941" s="50"/>
    </row>
    <row r="942">
      <c r="A942" s="50"/>
    </row>
    <row r="943">
      <c r="A943" s="50"/>
    </row>
    <row r="944">
      <c r="A944" s="50"/>
    </row>
    <row r="945">
      <c r="A945" s="50"/>
    </row>
    <row r="946">
      <c r="A946" s="50"/>
    </row>
    <row r="947">
      <c r="A947" s="50"/>
    </row>
    <row r="948">
      <c r="A948" s="50"/>
    </row>
    <row r="949">
      <c r="A949" s="50"/>
    </row>
    <row r="950">
      <c r="A950" s="50"/>
    </row>
    <row r="951">
      <c r="A951" s="50"/>
    </row>
    <row r="952">
      <c r="A952" s="50"/>
    </row>
    <row r="953">
      <c r="A953" s="50"/>
    </row>
    <row r="954">
      <c r="A954" s="50"/>
    </row>
    <row r="955">
      <c r="A955" s="50"/>
    </row>
    <row r="956">
      <c r="A956" s="50"/>
    </row>
    <row r="957">
      <c r="A957" s="50"/>
    </row>
    <row r="958">
      <c r="A958" s="50"/>
    </row>
    <row r="959">
      <c r="A959" s="50"/>
    </row>
    <row r="960">
      <c r="A960" s="50"/>
    </row>
    <row r="961">
      <c r="A961" s="50"/>
    </row>
    <row r="962">
      <c r="A962" s="50"/>
    </row>
    <row r="963">
      <c r="A963" s="50"/>
    </row>
    <row r="964">
      <c r="A964" s="50"/>
    </row>
    <row r="965">
      <c r="A965" s="50"/>
    </row>
    <row r="966">
      <c r="A966" s="50"/>
    </row>
    <row r="967">
      <c r="A967" s="50"/>
    </row>
    <row r="968">
      <c r="A968" s="50"/>
    </row>
    <row r="969">
      <c r="A969" s="50"/>
    </row>
    <row r="970">
      <c r="A970" s="50"/>
    </row>
    <row r="971">
      <c r="A971" s="50"/>
    </row>
    <row r="972">
      <c r="A972" s="50"/>
    </row>
    <row r="973">
      <c r="A973" s="50"/>
    </row>
    <row r="974">
      <c r="A974" s="50"/>
    </row>
    <row r="975">
      <c r="A975" s="50"/>
    </row>
    <row r="976">
      <c r="A976" s="50"/>
    </row>
    <row r="977">
      <c r="A977" s="50"/>
    </row>
    <row r="978">
      <c r="A978" s="50"/>
    </row>
    <row r="979">
      <c r="A979" s="50"/>
    </row>
    <row r="980">
      <c r="A980" s="50"/>
    </row>
    <row r="981">
      <c r="A981" s="50"/>
    </row>
    <row r="982">
      <c r="A982" s="50"/>
    </row>
    <row r="983">
      <c r="A983" s="50"/>
    </row>
    <row r="984">
      <c r="A984" s="50"/>
    </row>
    <row r="985">
      <c r="A985" s="50"/>
    </row>
    <row r="986">
      <c r="A986" s="50"/>
    </row>
    <row r="987">
      <c r="A987" s="50"/>
    </row>
    <row r="988">
      <c r="A988" s="50"/>
    </row>
    <row r="989">
      <c r="A989" s="50"/>
    </row>
    <row r="990">
      <c r="A990" s="50"/>
    </row>
    <row r="991">
      <c r="A991" s="50"/>
    </row>
    <row r="992">
      <c r="A992" s="50"/>
    </row>
    <row r="993">
      <c r="A993" s="50"/>
    </row>
    <row r="994">
      <c r="A994" s="50"/>
    </row>
    <row r="995">
      <c r="A995" s="50"/>
    </row>
    <row r="996">
      <c r="A996" s="50"/>
    </row>
    <row r="997">
      <c r="A997" s="50"/>
    </row>
    <row r="998">
      <c r="A998" s="50"/>
    </row>
    <row r="999">
      <c r="A999" s="50"/>
    </row>
    <row r="1000">
      <c r="A1000" s="50"/>
    </row>
  </sheetData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</cols>
  <sheetData>
    <row r="1">
      <c r="A1" s="3"/>
      <c r="B1" s="53" t="s">
        <v>8</v>
      </c>
      <c r="C1" s="53" t="s">
        <v>9</v>
      </c>
      <c r="D1" s="53" t="s">
        <v>10</v>
      </c>
      <c r="E1" s="53" t="s">
        <v>11</v>
      </c>
      <c r="F1" s="53" t="s">
        <v>67</v>
      </c>
      <c r="G1" s="3"/>
      <c r="H1" s="36" t="s">
        <v>72</v>
      </c>
      <c r="I1" s="36" t="s">
        <v>73</v>
      </c>
      <c r="J1" s="36" t="s">
        <v>74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4" t="s">
        <v>116</v>
      </c>
      <c r="B2" s="3">
        <f>'Thai Stock'!J2</f>
        <v>28800</v>
      </c>
      <c r="C2" s="3">
        <f>'Thai Stock'!K2</f>
        <v>35525</v>
      </c>
      <c r="D2" s="3">
        <f>'Thai Stock'!L2</f>
        <v>6725</v>
      </c>
      <c r="E2" s="3">
        <f>'Thai Stock'!M2</f>
        <v>23.35</v>
      </c>
      <c r="F2" s="20" t="s">
        <v>69</v>
      </c>
      <c r="G2" s="3"/>
      <c r="H2" s="37" t="s">
        <v>75</v>
      </c>
      <c r="I2" s="37" t="s">
        <v>69</v>
      </c>
      <c r="J2" s="38">
        <f>IFERROR(__xludf.DUMMYFUNCTION("GOOGLEFINANCE(""CURRENCY:""&amp;H2&amp;I2)
"),32.564)</f>
        <v>32.564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4" t="s">
        <v>99</v>
      </c>
      <c r="B3" s="3">
        <f>'USA Stock'!J2</f>
        <v>2080.751758</v>
      </c>
      <c r="C3" s="3">
        <f>'USA Stock'!K2</f>
        <v>2711.506002</v>
      </c>
      <c r="D3" s="3">
        <f>'USA Stock'!L2</f>
        <v>630.7542431</v>
      </c>
      <c r="E3" s="3">
        <f>'USA Stock'!M2</f>
        <v>30.31</v>
      </c>
      <c r="F3" s="20" t="s">
        <v>75</v>
      </c>
      <c r="G3" s="3"/>
      <c r="H3" s="37" t="s">
        <v>69</v>
      </c>
      <c r="I3" s="37" t="s">
        <v>75</v>
      </c>
      <c r="J3" s="38">
        <f>IFERROR(__xludf.DUMMYFUNCTION("GOOGLEFINANCE(""CURRENCY:""&amp;H3&amp;I3)
"),0.03070782)</f>
        <v>0.03070782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4" t="s">
        <v>117</v>
      </c>
      <c r="B4" s="3">
        <f>ETF!J2</f>
        <v>563.7054421</v>
      </c>
      <c r="C4" s="3">
        <f>ETF!K2</f>
        <v>693.8447313</v>
      </c>
      <c r="D4" s="3">
        <f>ETF!L2</f>
        <v>130.1392892</v>
      </c>
      <c r="E4" s="3">
        <f>ETF!M2</f>
        <v>23.09</v>
      </c>
      <c r="F4" s="20" t="s">
        <v>75</v>
      </c>
      <c r="G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4" t="s">
        <v>96</v>
      </c>
      <c r="B5" s="3">
        <f>Fund!J2</f>
        <v>37162.44261</v>
      </c>
      <c r="C5" s="3">
        <f>Fund!K2</f>
        <v>45957.76721</v>
      </c>
      <c r="D5" s="3">
        <f>Fund!L2</f>
        <v>8795.324595</v>
      </c>
      <c r="E5" s="3">
        <f>Fund!M2</f>
        <v>23.67</v>
      </c>
      <c r="F5" s="20" t="s">
        <v>69</v>
      </c>
      <c r="G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4" t="s">
        <v>118</v>
      </c>
      <c r="B6" s="3">
        <f>Crypto!K2</f>
        <v>7979.972928</v>
      </c>
      <c r="C6" s="3" t="str">
        <f>Crypto!L2</f>
        <v>Loading...</v>
      </c>
      <c r="D6" s="3" t="str">
        <f>Crypto!M2</f>
        <v>Loading...</v>
      </c>
      <c r="E6" s="3" t="str">
        <f>Crypto!N2</f>
        <v>Loading...</v>
      </c>
      <c r="F6" s="20" t="s">
        <v>69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4" t="s">
        <v>30</v>
      </c>
      <c r="B7" s="3">
        <f>Gold!J2</f>
        <v>448.5326456</v>
      </c>
      <c r="C7" s="3">
        <f>Gold!K2</f>
        <v>599.6653733</v>
      </c>
      <c r="D7" s="3">
        <f>Gold!L2</f>
        <v>152.4432992</v>
      </c>
      <c r="E7" s="3">
        <f>Gold!M2</f>
        <v>33.69</v>
      </c>
      <c r="F7" s="20" t="s">
        <v>75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5" t="s">
        <v>78</v>
      </c>
      <c r="B8" s="3">
        <f>Other!L8</f>
        <v>300000.03</v>
      </c>
      <c r="C8" s="3">
        <f>Other!M8</f>
        <v>300000.03</v>
      </c>
      <c r="D8" s="3">
        <f>Other!N8</f>
        <v>0</v>
      </c>
      <c r="E8" s="3">
        <f>Other!O8</f>
        <v>0</v>
      </c>
      <c r="F8" s="20" t="s">
        <v>69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6" t="s">
        <v>80</v>
      </c>
      <c r="B9" s="3">
        <f>Other!L9</f>
        <v>160000</v>
      </c>
      <c r="C9" s="3">
        <f>Other!M9</f>
        <v>160000</v>
      </c>
      <c r="D9" s="3">
        <f>Other!N9</f>
        <v>0</v>
      </c>
      <c r="E9" s="3">
        <f>Other!O9</f>
        <v>0</v>
      </c>
      <c r="F9" s="20" t="s">
        <v>69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5" t="s">
        <v>86</v>
      </c>
      <c r="B10" s="3">
        <f>Other!L10</f>
        <v>50000</v>
      </c>
      <c r="C10" s="3">
        <f>Other!M10</f>
        <v>50000</v>
      </c>
      <c r="D10" s="3">
        <f>Other!N10</f>
        <v>0</v>
      </c>
      <c r="E10" s="3">
        <f>Other!O10</f>
        <v>0</v>
      </c>
      <c r="F10" s="20" t="s">
        <v>69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5" t="s">
        <v>77</v>
      </c>
      <c r="B11" s="3">
        <f>Other!L11</f>
        <v>68426.28</v>
      </c>
      <c r="C11" s="3">
        <f>Other!M11</f>
        <v>69527.77</v>
      </c>
      <c r="D11" s="3">
        <f>Other!N11</f>
        <v>1101.49</v>
      </c>
      <c r="E11" s="3">
        <f>Other!O11</f>
        <v>1.61</v>
      </c>
      <c r="F11" s="20" t="s">
        <v>69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E12" s="3"/>
      <c r="F12" s="2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E13" s="3"/>
      <c r="F13" s="2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B14" s="2" t="s">
        <v>8</v>
      </c>
      <c r="C14" s="2" t="s">
        <v>9</v>
      </c>
      <c r="D14" s="2" t="s">
        <v>10</v>
      </c>
      <c r="E14" s="2" t="s">
        <v>7</v>
      </c>
      <c r="F14" s="20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4" t="s">
        <v>116</v>
      </c>
      <c r="B15" s="3">
        <f>IF(F2="THB",B2,F2*J2)</f>
        <v>28800</v>
      </c>
      <c r="C15" s="3">
        <f>IF(F2="THB",C2,G2*#REF!)</f>
        <v>35525</v>
      </c>
      <c r="D15" s="3">
        <f>IF(F2="THB",D2,D2*J2)</f>
        <v>6725</v>
      </c>
      <c r="E15" s="3">
        <f t="shared" ref="E15:E24" si="1">ROUND(100*D15/B15,2)</f>
        <v>23.35</v>
      </c>
      <c r="F15" s="20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4" t="s">
        <v>99</v>
      </c>
      <c r="B16" s="3">
        <f>IF(F3="THB",B3,B3*J2)</f>
        <v>67757.60026</v>
      </c>
      <c r="C16" s="3">
        <f>IF(F3="THB",C3,C3*J2)</f>
        <v>88297.48143</v>
      </c>
      <c r="D16" s="3">
        <f>IF(F3="THB",D3,D3*J2)</f>
        <v>20539.88117</v>
      </c>
      <c r="E16" s="3">
        <f t="shared" si="1"/>
        <v>30.31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4" t="s">
        <v>117</v>
      </c>
      <c r="B17" s="3">
        <f>IF(F4="THB",B4,B4*J2)</f>
        <v>18356.50402</v>
      </c>
      <c r="C17" s="3">
        <f>IF(F4="THB",C4,C4*J2)</f>
        <v>22594.35983</v>
      </c>
      <c r="D17" s="3">
        <f>IF(F4="THB",D4,D4*J2)</f>
        <v>4237.855813</v>
      </c>
      <c r="E17" s="3">
        <f t="shared" si="1"/>
        <v>23.09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4" t="s">
        <v>96</v>
      </c>
      <c r="B18" s="3">
        <f>IF(F5="THB",B5,B5*J2)</f>
        <v>37162.44261</v>
      </c>
      <c r="C18" s="3">
        <f>IF(F5="THB",C5,C5*J2)</f>
        <v>45957.76721</v>
      </c>
      <c r="D18" s="3">
        <f>IF(F5="THB",D5,D5*J2)</f>
        <v>8795.324595</v>
      </c>
      <c r="E18" s="3">
        <f t="shared" si="1"/>
        <v>23.67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4" t="s">
        <v>118</v>
      </c>
      <c r="B19" s="3">
        <f>IF(F6="THB",B6,B6*J2)</f>
        <v>7979.972928</v>
      </c>
      <c r="C19" s="3" t="str">
        <f>IF(F6="THB",C6,C6*J2)</f>
        <v>Loading...</v>
      </c>
      <c r="D19" s="3" t="str">
        <f>IF(F6="THB",D6,D6*J2)</f>
        <v>Loading...</v>
      </c>
      <c r="E19" s="3" t="str">
        <f t="shared" si="1"/>
        <v>Loading...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4" t="s">
        <v>30</v>
      </c>
      <c r="B20" s="3">
        <f t="shared" ref="B20:B21" si="2">IF(F7="THB",B7,B7*J2)</f>
        <v>14606.01707</v>
      </c>
      <c r="C20" s="3">
        <f t="shared" ref="C20:C21" si="3">IF(F7="THB",C7,C7*J2)</f>
        <v>19527.50322</v>
      </c>
      <c r="D20" s="3">
        <f t="shared" ref="D20:D21" si="4">IF(F7="THB",D7,D7*J2)</f>
        <v>4964.163594</v>
      </c>
      <c r="E20" s="3">
        <f t="shared" si="1"/>
        <v>33.99</v>
      </c>
      <c r="F20" s="3"/>
      <c r="G20" s="3"/>
      <c r="H20" s="3"/>
      <c r="I20" s="3"/>
      <c r="J20" s="3"/>
      <c r="K20" s="3"/>
      <c r="L20" s="3"/>
      <c r="M20" s="3"/>
      <c r="N20" s="3"/>
      <c r="O20" s="57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5" t="s">
        <v>78</v>
      </c>
      <c r="B21" s="3">
        <f t="shared" si="2"/>
        <v>300000.03</v>
      </c>
      <c r="C21" s="3">
        <f t="shared" si="3"/>
        <v>300000.03</v>
      </c>
      <c r="D21" s="3">
        <f t="shared" si="4"/>
        <v>0</v>
      </c>
      <c r="E21" s="3">
        <f t="shared" si="1"/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6" t="s">
        <v>80</v>
      </c>
      <c r="B22" s="3">
        <f t="shared" ref="B22:B24" si="5">IF(F9="THB",B9,B9*I4)</f>
        <v>160000</v>
      </c>
      <c r="C22" s="3">
        <f t="shared" ref="C22:C24" si="6">IF(F9="THB",C9,C9*I4)</f>
        <v>160000</v>
      </c>
      <c r="D22" s="3">
        <f t="shared" ref="D22:D24" si="7">IF(F9="THB",D9,D9*I4)</f>
        <v>0</v>
      </c>
      <c r="E22" s="3">
        <f t="shared" si="1"/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5" t="s">
        <v>86</v>
      </c>
      <c r="B23" s="3">
        <f t="shared" si="5"/>
        <v>50000</v>
      </c>
      <c r="C23" s="3">
        <f t="shared" si="6"/>
        <v>50000</v>
      </c>
      <c r="D23" s="3">
        <f t="shared" si="7"/>
        <v>0</v>
      </c>
      <c r="E23" s="3">
        <f t="shared" si="1"/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5" t="s">
        <v>77</v>
      </c>
      <c r="B24" s="3">
        <f t="shared" si="5"/>
        <v>68426.28</v>
      </c>
      <c r="C24" s="3">
        <f t="shared" si="6"/>
        <v>69527.77</v>
      </c>
      <c r="D24" s="3">
        <f t="shared" si="7"/>
        <v>1101.49</v>
      </c>
      <c r="E24" s="3">
        <f t="shared" si="1"/>
        <v>1.61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2" t="s">
        <v>8</v>
      </c>
      <c r="C28" s="2" t="s">
        <v>9</v>
      </c>
      <c r="D28" s="2" t="s">
        <v>10</v>
      </c>
      <c r="E28" s="2" t="s">
        <v>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8" t="s">
        <v>119</v>
      </c>
      <c r="B29" s="3">
        <f t="shared" ref="B29:D29" si="8">SUM(B15:B24)</f>
        <v>753088.8469</v>
      </c>
      <c r="C29" s="3" t="str">
        <f t="shared" si="8"/>
        <v>Loading...</v>
      </c>
      <c r="D29" s="3" t="str">
        <f t="shared" si="8"/>
        <v>Loading...</v>
      </c>
      <c r="E29" s="3" t="str">
        <f>ROUND((100*C29/B29)-100,2)</f>
        <v>Loading...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0"/>
      <c r="B35" s="20"/>
      <c r="C35" s="2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9"/>
      <c r="B44" s="59"/>
      <c r="C44" s="59"/>
      <c r="D44" s="59"/>
      <c r="E44" s="3"/>
      <c r="F44" s="3"/>
      <c r="G44" s="3"/>
      <c r="H44" s="59"/>
      <c r="I44" s="59"/>
      <c r="J44" s="59"/>
      <c r="K44" s="59"/>
      <c r="L44" s="3"/>
      <c r="M44" s="3"/>
      <c r="N44" s="3"/>
      <c r="O44" s="3"/>
      <c r="P44" s="3"/>
      <c r="Q44" s="3"/>
      <c r="R44" s="3"/>
      <c r="S44" s="3"/>
      <c r="T44" s="3"/>
      <c r="Y44" s="3"/>
      <c r="Z44" s="3"/>
    </row>
    <row r="45" ht="22.5" customHeight="1">
      <c r="A45" s="1" t="s">
        <v>14</v>
      </c>
      <c r="B45" s="1" t="s">
        <v>3</v>
      </c>
      <c r="C45" s="1" t="s">
        <v>120</v>
      </c>
      <c r="D45" s="1" t="s">
        <v>7</v>
      </c>
      <c r="E45" s="3"/>
      <c r="F45" s="1" t="s">
        <v>14</v>
      </c>
      <c r="G45" s="1" t="s">
        <v>3</v>
      </c>
      <c r="H45" s="1" t="s">
        <v>120</v>
      </c>
      <c r="I45" s="1" t="s">
        <v>7</v>
      </c>
      <c r="J45" s="59"/>
      <c r="K45" s="1" t="s">
        <v>14</v>
      </c>
      <c r="L45" s="1" t="s">
        <v>3</v>
      </c>
      <c r="M45" s="1" t="s">
        <v>120</v>
      </c>
      <c r="N45" s="1" t="s">
        <v>7</v>
      </c>
      <c r="O45" s="3"/>
      <c r="P45" s="1" t="s">
        <v>14</v>
      </c>
      <c r="Q45" s="1" t="s">
        <v>3</v>
      </c>
      <c r="R45" s="1" t="s">
        <v>120</v>
      </c>
      <c r="S45" s="1" t="s">
        <v>7</v>
      </c>
      <c r="T45" s="3"/>
      <c r="U45" s="1" t="s">
        <v>14</v>
      </c>
      <c r="V45" s="1" t="s">
        <v>3</v>
      </c>
      <c r="W45" s="1" t="s">
        <v>120</v>
      </c>
      <c r="X45" s="1" t="s">
        <v>7</v>
      </c>
      <c r="Y45" s="3"/>
      <c r="Z45" s="3"/>
    </row>
    <row r="46" ht="22.5" customHeight="1">
      <c r="A46" s="14" t="s">
        <v>15</v>
      </c>
      <c r="B46" s="15">
        <f>SUMIF(THAI_STOCK_SUMMARIZE[Sector],A46,THAI_STOCK_SUMMARIZE[Cost])</f>
        <v>28800</v>
      </c>
      <c r="C46" s="15">
        <f>SUMIF(THAI_STOCK_SUMMARIZE[Sector],A46,THAI_STOCK_SUMMARIZE[Current Value])</f>
        <v>35525</v>
      </c>
      <c r="D46" s="15">
        <f>ROUND((100*C46/B46),2)-100</f>
        <v>23.35</v>
      </c>
      <c r="E46" s="3"/>
      <c r="F46" s="14" t="s">
        <v>20</v>
      </c>
      <c r="G46" s="15">
        <f>SUMIF(USA_STOCK_SUMMARIZE[Sector],F46,USA_STOCK_SUMMARIZE[Cost]) * J2</f>
        <v>36126.03971</v>
      </c>
      <c r="H46" s="15">
        <f>SUMIF(USA_STOCK_SUMMARIZE[Sector],F46,USA_STOCK_SUMMARIZE[Current Value])* J2</f>
        <v>52160.94998</v>
      </c>
      <c r="I46" s="15">
        <f t="shared" ref="I46:I52" si="10">ROUND((100*H46/G46),2)-100</f>
        <v>44.39</v>
      </c>
      <c r="J46" s="59"/>
      <c r="K46" s="14" t="s">
        <v>20</v>
      </c>
      <c r="L46" s="15">
        <f>SUMIF(ETF_SUMMARIZE[Sector],K46,ETF_SUMMARIZE[Cost]) * J2</f>
        <v>9543.937572</v>
      </c>
      <c r="M46" s="15">
        <f>SUMIF(ETF_SUMMARIZE[Sector],K46,ETF_SUMMARIZE[Current Value]) * J2</f>
        <v>12871.54416</v>
      </c>
      <c r="N46" s="15">
        <f t="shared" ref="N46:N47" si="11">ROUND((100*M46/L46),2)-100</f>
        <v>34.87</v>
      </c>
      <c r="O46" s="3"/>
      <c r="P46" s="14" t="s">
        <v>20</v>
      </c>
      <c r="Q46" s="15">
        <f>SUMIF(FUND_SUMMARIZE[Sector],P46,FUND_SUMMARIZE[Cost])</f>
        <v>7999.999278</v>
      </c>
      <c r="R46" s="15">
        <f>SUMIF(FUND_SUMMARIZE[Sector],P46,FUND_SUMMARIZE[Current Value])</f>
        <v>10285.23597</v>
      </c>
      <c r="S46" s="15">
        <f t="shared" ref="S46:S54" si="12">ROUND((100*R46/Q46),2)-100</f>
        <v>28.57</v>
      </c>
      <c r="T46" s="3"/>
      <c r="U46" s="14" t="s">
        <v>118</v>
      </c>
      <c r="V46" s="15">
        <f t="shared" ref="V46:W46" si="9">B19</f>
        <v>7979.972928</v>
      </c>
      <c r="W46" s="15" t="str">
        <f t="shared" si="9"/>
        <v>Loading...</v>
      </c>
      <c r="X46" s="15" t="str">
        <f t="shared" ref="X46:X47" si="14">ROUND((100*W46/V46),2)-100</f>
        <v>Loading...</v>
      </c>
      <c r="Y46" s="3"/>
      <c r="Z46" s="3"/>
    </row>
    <row r="47" ht="22.5" customHeight="1">
      <c r="A47" s="59"/>
      <c r="B47" s="59"/>
      <c r="C47" s="59"/>
      <c r="D47" s="59"/>
      <c r="E47" s="3"/>
      <c r="F47" s="14" t="s">
        <v>40</v>
      </c>
      <c r="G47" s="15">
        <f>SUMIF(USA_STOCK_SUMMARIZE[Sector],F47,USA_STOCK_SUMMARIZE[Cost])* J2</f>
        <v>11039.93728</v>
      </c>
      <c r="H47" s="15">
        <f>SUMIF(USA_STOCK_SUMMARIZE[Sector],F47,USA_STOCK_SUMMARIZE[Current Value])* J2</f>
        <v>11633.89998</v>
      </c>
      <c r="I47" s="15">
        <f t="shared" si="10"/>
        <v>5.38</v>
      </c>
      <c r="J47" s="59"/>
      <c r="K47" s="14" t="s">
        <v>22</v>
      </c>
      <c r="L47" s="15">
        <f>SUMIF(ETF_SUMMARIZE[Sector],K47,ETF_SUMMARIZE[Cost]) * J2</f>
        <v>8812.566444</v>
      </c>
      <c r="M47" s="15">
        <f>SUMIF(ETF_SUMMARIZE[Sector],K47,ETF_SUMMARIZE[Current Value])* J2</f>
        <v>9722.815669</v>
      </c>
      <c r="N47" s="15">
        <f t="shared" si="11"/>
        <v>10.33</v>
      </c>
      <c r="O47" s="3"/>
      <c r="P47" s="14" t="s">
        <v>22</v>
      </c>
      <c r="Q47" s="15">
        <f>SUMIF(FUND_SUMMARIZE[Sector],P47,FUND_SUMMARIZE[Cost])</f>
        <v>9999.998914</v>
      </c>
      <c r="R47" s="15">
        <f>SUMIF(FUND_SUMMARIZE[Sector],P47,FUND_SUMMARIZE[Current Value])</f>
        <v>12246.68665</v>
      </c>
      <c r="S47" s="15">
        <f t="shared" si="12"/>
        <v>22.47</v>
      </c>
      <c r="T47" s="3"/>
      <c r="U47" s="14" t="s">
        <v>30</v>
      </c>
      <c r="V47" s="15">
        <f t="shared" ref="V47:W47" si="13">B20</f>
        <v>14606.01707</v>
      </c>
      <c r="W47" s="15">
        <f t="shared" si="13"/>
        <v>19527.50322</v>
      </c>
      <c r="X47" s="15">
        <f t="shared" si="14"/>
        <v>33.69</v>
      </c>
      <c r="Y47" s="3"/>
      <c r="Z47" s="3"/>
    </row>
    <row r="48" ht="22.5" customHeight="1">
      <c r="A48" s="59"/>
      <c r="B48" s="59"/>
      <c r="C48" s="59"/>
      <c r="D48" s="59"/>
      <c r="E48" s="3"/>
      <c r="F48" s="14" t="s">
        <v>42</v>
      </c>
      <c r="G48" s="15">
        <f>SUMIF(USA_STOCK_SUMMARIZE[Sector],F48,USA_STOCK_SUMMARIZE[Cost])* J2</f>
        <v>8781.847161</v>
      </c>
      <c r="H48" s="15">
        <f>SUMIF(USA_STOCK_SUMMARIZE[Sector],F48,USA_STOCK_SUMMARIZE[Current Value])* J2</f>
        <v>10822.45157</v>
      </c>
      <c r="I48" s="15">
        <f t="shared" si="10"/>
        <v>23.24</v>
      </c>
      <c r="J48" s="59"/>
      <c r="K48" s="3"/>
      <c r="L48" s="3"/>
      <c r="M48" s="3"/>
      <c r="N48" s="3"/>
      <c r="O48" s="3"/>
      <c r="P48" s="14" t="s">
        <v>24</v>
      </c>
      <c r="Q48" s="15">
        <f>SUMIF(FUND_SUMMARIZE[Sector],P48,FUND_SUMMARIZE[Cost])</f>
        <v>1499.999452</v>
      </c>
      <c r="R48" s="15">
        <f>SUMIF(FUND_SUMMARIZE[Sector],P48,FUND_SUMMARIZE[Current Value])</f>
        <v>2390.589719</v>
      </c>
      <c r="S48" s="15">
        <f t="shared" si="12"/>
        <v>59.37</v>
      </c>
      <c r="T48" s="3"/>
      <c r="U48" s="3"/>
      <c r="V48" s="3"/>
      <c r="W48" s="3"/>
      <c r="X48" s="3"/>
      <c r="Y48" s="3"/>
      <c r="Z48" s="3"/>
    </row>
    <row r="49" ht="22.5" customHeight="1">
      <c r="A49" s="59"/>
      <c r="B49" s="59"/>
      <c r="C49" s="59"/>
      <c r="D49" s="59"/>
      <c r="E49" s="3"/>
      <c r="F49" s="14" t="s">
        <v>15</v>
      </c>
      <c r="G49" s="15">
        <f>SUMIF(USA_STOCK_SUMMARIZE[Sector],F49,USA_STOCK_SUMMARIZE[Cost])* J2</f>
        <v>1743.572634</v>
      </c>
      <c r="H49" s="15">
        <f>SUMIF(USA_STOCK_SUMMARIZE[Sector],F49,USA_STOCK_SUMMARIZE[Current Value])* J2</f>
        <v>1722.185823</v>
      </c>
      <c r="I49" s="15">
        <f t="shared" si="10"/>
        <v>-1.23</v>
      </c>
      <c r="J49" s="59"/>
      <c r="K49" s="3"/>
      <c r="L49" s="3"/>
      <c r="M49" s="3"/>
      <c r="N49" s="3"/>
      <c r="O49" s="3"/>
      <c r="P49" s="14" t="s">
        <v>26</v>
      </c>
      <c r="Q49" s="15">
        <f>SUMIF(FUND_SUMMARIZE[Sector],P49,FUND_SUMMARIZE[Cost])</f>
        <v>1999.99964</v>
      </c>
      <c r="R49" s="15">
        <f>SUMIF(FUND_SUMMARIZE[Sector],P49,FUND_SUMMARIZE[Current Value])</f>
        <v>2573.015915</v>
      </c>
      <c r="S49" s="15">
        <f t="shared" si="12"/>
        <v>28.65</v>
      </c>
      <c r="T49" s="3"/>
      <c r="U49" s="3"/>
      <c r="V49" s="3"/>
      <c r="W49" s="3"/>
      <c r="X49" s="3"/>
      <c r="Y49" s="3"/>
      <c r="Z49" s="3"/>
    </row>
    <row r="50" ht="22.5" customHeight="1">
      <c r="A50" s="3"/>
      <c r="B50" s="3"/>
      <c r="C50" s="3"/>
      <c r="D50" s="3"/>
      <c r="E50" s="3"/>
      <c r="F50" s="14" t="s">
        <v>28</v>
      </c>
      <c r="G50" s="19">
        <f>SUMIF(USA_STOCK_SUMMARIZE[Sector],F50,USA_STOCK_SUMMARIZE[Cost])* J2</f>
        <v>1006.2276</v>
      </c>
      <c r="H50" s="15">
        <f>SUMIF(USA_STOCK_SUMMARIZE[Sector],F50,USA_STOCK_SUMMARIZE[Current Value])* J2</f>
        <v>1294.419</v>
      </c>
      <c r="I50" s="15">
        <f t="shared" si="10"/>
        <v>28.64</v>
      </c>
      <c r="J50" s="3"/>
      <c r="K50" s="3"/>
      <c r="L50" s="3"/>
      <c r="M50" s="3"/>
      <c r="N50" s="3"/>
      <c r="O50" s="3"/>
      <c r="P50" s="14" t="s">
        <v>28</v>
      </c>
      <c r="Q50" s="15">
        <f>SUMIF(FUND_SUMMARIZE[Sector],P50,FUND_SUMMARIZE[Cost])</f>
        <v>2499.999247</v>
      </c>
      <c r="R50" s="15">
        <f>SUMIF(FUND_SUMMARIZE[Sector],P50,FUND_SUMMARIZE[Current Value])</f>
        <v>2138.023912</v>
      </c>
      <c r="S50" s="15">
        <f t="shared" si="12"/>
        <v>-14.48</v>
      </c>
      <c r="T50" s="3"/>
      <c r="U50" s="3"/>
      <c r="V50" s="3"/>
      <c r="W50" s="3"/>
      <c r="X50" s="3"/>
      <c r="Y50" s="3"/>
      <c r="Z50" s="3"/>
    </row>
    <row r="51" ht="22.5" customHeight="1">
      <c r="A51" s="3"/>
      <c r="B51" s="3"/>
      <c r="C51" s="3"/>
      <c r="D51" s="3"/>
      <c r="E51" s="3"/>
      <c r="F51" s="14" t="s">
        <v>55</v>
      </c>
      <c r="G51" s="19">
        <f>SUMIF(USA_STOCK_SUMMARIZE[Sector],F51,USA_STOCK_SUMMARIZE[Cost])* J2</f>
        <v>1907.549838</v>
      </c>
      <c r="H51" s="15">
        <f>SUMIF(USA_STOCK_SUMMARIZE[Sector],F51,USA_STOCK_SUMMARIZE[Current Value])* J2</f>
        <v>3925.577113</v>
      </c>
      <c r="I51" s="15">
        <f t="shared" si="10"/>
        <v>105.79</v>
      </c>
      <c r="J51" s="3"/>
      <c r="K51" s="3"/>
      <c r="L51" s="3"/>
      <c r="M51" s="3"/>
      <c r="N51" s="3"/>
      <c r="O51" s="3"/>
      <c r="P51" s="14" t="s">
        <v>30</v>
      </c>
      <c r="Q51" s="15">
        <f>SUMIF(FUND_SUMMARIZE[Sector],P51,FUND_SUMMARIZE[Cost])</f>
        <v>409.9599718</v>
      </c>
      <c r="R51" s="15">
        <f>SUMIF(FUND_SUMMARIZE[Sector],P51,FUND_SUMMARIZE[Current Value])</f>
        <v>349.5959922</v>
      </c>
      <c r="S51" s="15">
        <f t="shared" si="12"/>
        <v>-14.72</v>
      </c>
      <c r="T51" s="3"/>
      <c r="U51" s="3"/>
      <c r="V51" s="3"/>
      <c r="W51" s="3"/>
      <c r="X51" s="3"/>
      <c r="Y51" s="3"/>
      <c r="Z51" s="3"/>
    </row>
    <row r="52" ht="22.5" customHeight="1">
      <c r="A52" s="3"/>
      <c r="B52" s="3"/>
      <c r="C52" s="3"/>
      <c r="D52" s="3"/>
      <c r="E52" s="3"/>
      <c r="F52" s="14" t="s">
        <v>50</v>
      </c>
      <c r="G52" s="19">
        <f>SUMIF(USA_STOCK_SUMMARIZE[Sector],F52,USA_STOCK_SUMMARIZE[Cost])* J3</f>
        <v>2.14616729</v>
      </c>
      <c r="H52" s="15">
        <f>SUMIF(USA_STOCK_SUMMARIZE[Sector],F52,USA_STOCK_SUMMARIZE[Current Value])* J3</f>
        <v>1.952148075</v>
      </c>
      <c r="I52" s="15">
        <f t="shared" si="10"/>
        <v>-9.04</v>
      </c>
      <c r="J52" s="3"/>
      <c r="K52" s="3"/>
      <c r="L52" s="3"/>
      <c r="M52" s="3"/>
      <c r="N52" s="3"/>
      <c r="O52" s="3"/>
      <c r="P52" s="14" t="s">
        <v>32</v>
      </c>
      <c r="Q52" s="15">
        <f>SUMIF(FUND_SUMMARIZE[Sector],P52,FUND_SUMMARIZE[Cost])</f>
        <v>2999.999477</v>
      </c>
      <c r="R52" s="15">
        <f>SUMIF(FUND_SUMMARIZE[Sector],P52,FUND_SUMMARIZE[Current Value])</f>
        <v>3212.048645</v>
      </c>
      <c r="S52" s="15">
        <f t="shared" si="12"/>
        <v>7.07</v>
      </c>
      <c r="T52" s="3"/>
      <c r="U52" s="3"/>
      <c r="V52" s="3"/>
      <c r="W52" s="3"/>
      <c r="X52" s="3"/>
      <c r="Y52" s="3"/>
      <c r="Z52" s="3"/>
    </row>
    <row r="53" ht="22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14" t="s">
        <v>34</v>
      </c>
      <c r="Q53" s="15">
        <f>SUMIF(FUND_SUMMARIZE[Sector],P53,FUND_SUMMARIZE[Cost])</f>
        <v>2599.592244</v>
      </c>
      <c r="R53" s="15">
        <f>SUMIF(FUND_SUMMARIZE[Sector],P53,FUND_SUMMARIZE[Current Value])</f>
        <v>2782.829863</v>
      </c>
      <c r="S53" s="15">
        <f t="shared" si="12"/>
        <v>7.05</v>
      </c>
      <c r="T53" s="3"/>
      <c r="U53" s="3"/>
      <c r="V53" s="3"/>
      <c r="W53" s="3"/>
      <c r="X53" s="3"/>
      <c r="Y53" s="3"/>
      <c r="Z53" s="3"/>
    </row>
    <row r="54" ht="22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14" t="s">
        <v>36</v>
      </c>
      <c r="Q54" s="15">
        <f>SUMIF(FUND_SUMMARIZE[Sector],P54,FUND_SUMMARIZE[Cost])</f>
        <v>1874.072308</v>
      </c>
      <c r="R54" s="15">
        <f>SUMIF(FUND_SUMMARIZE[Sector],P54,FUND_SUMMARIZE[Current Value])</f>
        <v>1757.965832</v>
      </c>
      <c r="S54" s="15">
        <f t="shared" si="12"/>
        <v>-6.2</v>
      </c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28" t="s">
        <v>14</v>
      </c>
      <c r="B59" s="28" t="s">
        <v>3</v>
      </c>
      <c r="C59" s="28" t="s">
        <v>120</v>
      </c>
      <c r="D59" s="28" t="s">
        <v>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60" t="s">
        <v>15</v>
      </c>
      <c r="B60" s="61">
        <f>SUMIF(THAI[Sector],A60,THAI[Cost]) + SUMIF(USA[Sector],A60,USA[Cost]) + SUMIF(ETF[Sector],A60,ETF[Cost]) + SUMIF(FUND[Sector],A60,FUND[Cost]) + SUMIF(Other[Sector],A60,Other[Cost])</f>
        <v>30543.57263</v>
      </c>
      <c r="C60" s="61">
        <f>SUMIF(THAI[Sector],A60,THAI[Current]) + SUMIF(USA[Sector],A60,USA[Current]) + SUMIF(ETF[Sector],A60,ETF[Current]) + SUMIF(FUND[Sector],A60,FUND[Current]) + SUMIF(Other[Sector],A60,Other[Current])</f>
        <v>37247.18582</v>
      </c>
      <c r="D60" s="61">
        <f t="shared" ref="D60:D73" si="15">ROUND((100*C60/B60),2)-100</f>
        <v>21.95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60" t="s">
        <v>40</v>
      </c>
      <c r="B61" s="61">
        <f>SUMIF(THAI[Sector],A61,THAI[Cost]) + SUMIF(USA[Sector],A61,USA[Cost]) + SUMIF(ETF[Sector],A61,ETF[Cost]) + SUMIF(FUND[Sector],A61,FUND[Cost]) + SUMIF(Other[Sector],A61,Other[Cost])</f>
        <v>11039.93728</v>
      </c>
      <c r="C61" s="61">
        <f>SUMIF(THAI[Sector],A61,THAI[Current]) + SUMIF(USA[Sector],A61,USA[Current]) + SUMIF(ETF[Sector],A61,ETF[Current]) + SUMIF(FUND[Sector],A61,FUND[Current]) + SUMIF(Other[Sector],A61,Other[Current])</f>
        <v>11633.89998</v>
      </c>
      <c r="D61" s="61">
        <f t="shared" si="15"/>
        <v>5.38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60" t="s">
        <v>20</v>
      </c>
      <c r="B62" s="61">
        <f>SUMIF(THAI[Sector],A62,THAI[Cost]) + SUMIF(USA[Sector],A62,USA[Cost]) + SUMIF(ETF[Sector],A62,ETF[Cost]) + SUMIF(FUND[Sector],A62,FUND[Cost]) + SUMIF(Other[Sector],A62,Other[Cost])</f>
        <v>53669.97656</v>
      </c>
      <c r="C62" s="61">
        <f>SUMIF(THAI[Sector],A62,THAI[Current]) + SUMIF(USA[Sector],A62,USA[Current]) + SUMIF(ETF[Sector],A62,ETF[Current]) + SUMIF(FUND[Sector],A62,FUND[Current]) + SUMIF(Other[Sector],A62,Other[Current])</f>
        <v>75317.73011</v>
      </c>
      <c r="D62" s="61">
        <f t="shared" si="15"/>
        <v>40.33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60" t="s">
        <v>42</v>
      </c>
      <c r="B63" s="61">
        <f>SUMIF(THAI[Sector],A63,THAI[Cost]) + SUMIF(USA[Sector],A63,USA[Cost]) + SUMIF(ETF[Sector],A63,ETF[Cost]) + SUMIF(FUND[Sector],A63,FUND[Cost]) + SUMIF(Other[Sector],A63,Other[Cost])</f>
        <v>8781.847161</v>
      </c>
      <c r="C63" s="61">
        <f>SUMIF(THAI[Sector],A63,THAI[Current]) + SUMIF(USA[Sector],A63,USA[Current]) + SUMIF(ETF[Sector],A63,ETF[Current]) + SUMIF(FUND[Sector],A63,FUND[Current]) + SUMIF(Other[Sector],A63,Other[Current])</f>
        <v>10822.45157</v>
      </c>
      <c r="D63" s="61">
        <f t="shared" si="15"/>
        <v>23.24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60" t="s">
        <v>22</v>
      </c>
      <c r="B64" s="61">
        <f>SUMIF(THAI[Sector],A64,THAI[Cost]) + SUMIF(USA[Sector],A64,USA[Cost]) + SUMIF(ETF[Sector],A64,ETF[Cost]) + SUMIF(FUND[Sector],A64,FUND[Cost]) + SUMIF(Other[Sector],A64,Other[Cost])</f>
        <v>18812.56536</v>
      </c>
      <c r="C64" s="61">
        <f>SUMIF(THAI[Sector],A64,THAI[Current]) + SUMIF(USA[Sector],A64,USA[Current]) + SUMIF(ETF[Sector],A64,ETF[Current]) + SUMIF(FUND[Sector],A64,FUND[Current]) + SUMIF(Other[Sector],A64,Other[Current])</f>
        <v>21969.50232</v>
      </c>
      <c r="D64" s="61">
        <f t="shared" si="15"/>
        <v>16.78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60" t="s">
        <v>24</v>
      </c>
      <c r="B65" s="61">
        <f>SUMIF(THAI[Sector],A65,THAI[Cost]) + SUMIF(USA[Sector],A65,USA[Cost]) + SUMIF(ETF[Sector],A65,ETF[Cost]) + SUMIF(FUND[Sector],A65,FUND[Cost]) + SUMIF(Other[Sector],A65,Other[Cost])</f>
        <v>1499.999452</v>
      </c>
      <c r="C65" s="61">
        <f>SUMIF(THAI[Sector],A65,THAI[Current]) + SUMIF(USA[Sector],A65,USA[Current]) + SUMIF(ETF[Sector],A65,ETF[Current]) + SUMIF(FUND[Sector],A65,FUND[Current]) + SUMIF(Other[Sector],A65,Other[Current])</f>
        <v>2390.589719</v>
      </c>
      <c r="D65" s="61">
        <f t="shared" si="15"/>
        <v>59.37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60" t="s">
        <v>26</v>
      </c>
      <c r="B66" s="61">
        <f>SUMIF(THAI[Sector],A66,THAI[Cost]) + SUMIF(USA[Sector],A66,USA[Cost]) + SUMIF(ETF[Sector],A66,ETF[Cost]) + SUMIF(FUND[Sector],A66,FUND[Cost]) + SUMIF(Other[Sector],A66,Other[Cost])</f>
        <v>1999.99964</v>
      </c>
      <c r="C66" s="61">
        <f>SUMIF(THAI[Sector],A66,THAI[Current]) + SUMIF(USA[Sector],A66,USA[Current]) + SUMIF(ETF[Sector],A66,ETF[Current]) + SUMIF(FUND[Sector],A66,FUND[Current]) + SUMIF(Other[Sector],A66,Other[Current])</f>
        <v>2573.015915</v>
      </c>
      <c r="D66" s="61">
        <f t="shared" si="15"/>
        <v>28.65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60" t="s">
        <v>28</v>
      </c>
      <c r="B67" s="61">
        <f>SUMIF(THAI[Sector],A67,THAI[Cost]) + SUMIF(USA[Sector],A67,USA[Cost]) + SUMIF(ETF[Sector],A67,ETF[Cost]) + SUMIF(FUND[Sector],A67,FUND[Cost]) + SUMIF(Other[Sector],A67,Other[Cost])</f>
        <v>3506.226847</v>
      </c>
      <c r="C67" s="61">
        <f>SUMIF(THAI[Sector],A67,THAI[Current]) + SUMIF(USA[Sector],A67,USA[Current]) + SUMIF(ETF[Sector],A67,ETF[Current]) + SUMIF(FUND[Sector],A67,FUND[Current]) + SUMIF(Other[Sector],A67,Other[Current])</f>
        <v>3432.442912</v>
      </c>
      <c r="D67" s="61">
        <f t="shared" si="15"/>
        <v>-2.1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60" t="s">
        <v>30</v>
      </c>
      <c r="B68" s="61">
        <f>SUMIF(THAI[Sector],A68,THAI[Cost]) + SUMIF(USA[Sector],A68,USA[Cost]) + SUMIF(ETF[Sector],A68,ETF[Cost]) + SUMIF(FUND[Sector],A68,FUND[Cost]) + SUMIF(Other[Sector],A68,Other[Cost])</f>
        <v>15015.97704</v>
      </c>
      <c r="C68" s="61">
        <f>SUMIF(THAI[Sector],A68,THAI[Current]) + SUMIF(USA[Sector],A68,USA[Current]) + SUMIF(ETF[Sector],A68,ETF[Current]) + SUMIF(FUND[Sector],A68,FUND[Current]) + SUMIF(Other[Sector],A68,Other[Current])</f>
        <v>19877.09921</v>
      </c>
      <c r="D68" s="61">
        <f t="shared" si="15"/>
        <v>32.37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60" t="s">
        <v>32</v>
      </c>
      <c r="B69" s="61">
        <f>SUMIF(THAI[Sector],A69,THAI[Cost]) + SUMIF(USA[Sector],A69,USA[Cost]) + SUMIF(ETF[Sector],A69,ETF[Cost]) + SUMIF(FUND[Sector],A69,FUND[Cost]) + SUMIF(Other[Sector],A69,Other[Cost])</f>
        <v>2999.999477</v>
      </c>
      <c r="C69" s="61">
        <f>SUMIF(THAI[Sector],A69,THAI[Current]) + SUMIF(USA[Sector],A69,USA[Current]) + SUMIF(ETF[Sector],A69,ETF[Current]) + SUMIF(FUND[Sector],A69,FUND[Current]) + SUMIF(Other[Sector],A69,Other[Current])</f>
        <v>3212.048645</v>
      </c>
      <c r="D69" s="61">
        <f t="shared" si="15"/>
        <v>7.07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60" t="s">
        <v>34</v>
      </c>
      <c r="B70" s="61">
        <f>SUMIF(THAI[Sector],A70,THAI[Cost]) + SUMIF(USA[Sector],A70,USA[Cost]) + SUMIF(ETF[Sector],A70,ETF[Cost]) + SUMIF(FUND[Sector],A70,FUND[Cost]) + SUMIF(Other[Sector],A70,Other[Cost])</f>
        <v>2599.592244</v>
      </c>
      <c r="C70" s="61">
        <f>SUMIF(THAI[Sector],A70,THAI[Current]) + SUMIF(USA[Sector],A70,USA[Current]) + SUMIF(ETF[Sector],A70,ETF[Current]) + SUMIF(FUND[Sector],A70,FUND[Current]) + SUMIF(Other[Sector],A70,Other[Current])</f>
        <v>2782.829863</v>
      </c>
      <c r="D70" s="61">
        <f t="shared" si="15"/>
        <v>7.05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60" t="s">
        <v>36</v>
      </c>
      <c r="B71" s="61">
        <f>SUMIF(THAI[Sector],A71,THAI[Cost]) + SUMIF(USA[Sector],A71,USA[Cost]) + SUMIF(ETF[Sector],A71,ETF[Cost]) + SUMIF(FUND[Sector],A71,FUND[Cost]) + SUMIF(Other[Sector],A71,Other[Cost])</f>
        <v>1874.072308</v>
      </c>
      <c r="C71" s="61">
        <f>SUMIF(THAI[Sector],A71,THAI[Current]) + SUMIF(USA[Sector],A71,USA[Current]) + SUMIF(ETF[Sector],A71,ETF[Current]) + SUMIF(FUND[Sector],A71,FUND[Current]) + SUMIF(Other[Sector],A71,Other[Current])</f>
        <v>1757.965832</v>
      </c>
      <c r="D71" s="61">
        <f t="shared" si="15"/>
        <v>-6.2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60" t="s">
        <v>55</v>
      </c>
      <c r="B72" s="61">
        <f>SUMIF(THAI[Sector],A72,THAI[Cost]) + SUMIF(USA[Sector],A72,USA[Cost]) + SUMIF(ETF[Sector],A72,ETF[Cost]) + SUMIF(FUND[Sector],A72,FUND[Cost]) + SUMIF(Other[Sector],A72,Other[Cost])</f>
        <v>1907.549838</v>
      </c>
      <c r="C72" s="61">
        <f>SUMIF(THAI[Sector],A72,THAI[Current]) + SUMIF(USA[Sector],A72,USA[Current]) + SUMIF(ETF[Sector],A72,ETF[Current]) + SUMIF(FUND[Sector],A72,FUND[Current]) + SUMIF(Other[Sector],A72,Other[Current])</f>
        <v>3925.577113</v>
      </c>
      <c r="D72" s="61">
        <f t="shared" si="15"/>
        <v>105.79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60" t="s">
        <v>50</v>
      </c>
      <c r="B73" s="61">
        <f>SUMIF(THAI[Sector],A73,THAI[Cost]) + SUMIF(USA[Sector],A73,USA[Cost]) + SUMIF(ETF[Sector],A73,ETF[Cost]) + SUMIF(FUND[Sector],A73,FUND[Cost]) + SUMIF(Other[Sector],A73,Other[Cost])</f>
        <v>2.14616729</v>
      </c>
      <c r="C73" s="61">
        <f>SUMIF(THAI[Sector],A73,THAI[Current]) + SUMIF(USA[Sector],A73,USA[Current]) + SUMIF(ETF[Sector],A73,ETF[Current]) + SUMIF(FUND[Sector],A73,FUND[Current]) + SUMIF(Other[Sector],A73,Other[Current])</f>
        <v>1.952148075</v>
      </c>
      <c r="D73" s="61">
        <f t="shared" si="15"/>
        <v>-9.04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T997" s="3"/>
      <c r="U997" s="3"/>
      <c r="V997" s="3"/>
      <c r="W997" s="3"/>
      <c r="X997" s="3"/>
      <c r="Y997" s="3"/>
      <c r="Z997" s="3"/>
    </row>
    <row r="998"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T998" s="3"/>
      <c r="U998" s="3"/>
      <c r="V998" s="3"/>
      <c r="W998" s="3"/>
      <c r="X998" s="3"/>
      <c r="Y998" s="3"/>
      <c r="Z998" s="3"/>
    </row>
    <row r="999">
      <c r="E999" s="3"/>
      <c r="F999" s="3"/>
      <c r="G999" s="3"/>
      <c r="H999" s="3"/>
      <c r="I999" s="3"/>
      <c r="J999" s="3"/>
      <c r="O999" s="3"/>
      <c r="T999" s="3"/>
      <c r="U999" s="3"/>
      <c r="V999" s="3"/>
      <c r="W999" s="3"/>
      <c r="X999" s="3"/>
      <c r="Y999" s="3"/>
      <c r="Z999" s="3"/>
    </row>
    <row r="1000">
      <c r="E1000" s="3"/>
      <c r="J1000" s="3"/>
      <c r="O1000" s="3"/>
      <c r="T1000" s="3"/>
      <c r="U1000" s="3"/>
      <c r="V1000" s="3"/>
      <c r="W1000" s="3"/>
      <c r="X1000" s="3"/>
      <c r="Y1000" s="3"/>
      <c r="Z1000" s="3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2" max="2" width="19.5"/>
  </cols>
  <sheetData>
    <row r="1" ht="22.5" customHeight="1">
      <c r="A1" s="62" t="s">
        <v>92</v>
      </c>
      <c r="B1" s="63" t="s">
        <v>121</v>
      </c>
    </row>
    <row r="2" ht="22.5" customHeight="1">
      <c r="A2" s="64">
        <v>46072.43704268518</v>
      </c>
      <c r="B2" s="65">
        <v>640908.1951230145</v>
      </c>
    </row>
    <row r="3" ht="22.5" customHeight="1">
      <c r="A3" s="64">
        <v>46073.36201798611</v>
      </c>
      <c r="B3" s="65">
        <v>641214.0474185984</v>
      </c>
    </row>
    <row r="4" ht="22.5" customHeight="1">
      <c r="A4" s="64">
        <v>46076.40717917824</v>
      </c>
      <c r="B4" s="65">
        <v>641635.2041633215</v>
      </c>
    </row>
    <row r="5" ht="22.5" customHeight="1">
      <c r="A5" s="64">
        <v>46077.39049262731</v>
      </c>
      <c r="B5" s="65">
        <v>641619.9186564443</v>
      </c>
    </row>
    <row r="6" ht="22.5" customHeight="1">
      <c r="A6" s="64">
        <v>46078.40194460648</v>
      </c>
      <c r="B6" s="65">
        <f>646969.908497947-2500</f>
        <v>644469.9085</v>
      </c>
    </row>
    <row r="7" ht="22.5" customHeight="1">
      <c r="A7" s="64">
        <v>46079.36363422454</v>
      </c>
      <c r="B7" s="65">
        <v>647600.5768596662</v>
      </c>
    </row>
    <row r="8" ht="22.5" customHeight="1">
      <c r="A8" s="64">
        <v>46083.54102363426</v>
      </c>
      <c r="B8" s="65">
        <v>648882.8302549161</v>
      </c>
    </row>
    <row r="9" ht="22.5" customHeight="1">
      <c r="A9" s="64">
        <v>46085.3964509375</v>
      </c>
      <c r="B9" s="65">
        <v>649071.4963584989</v>
      </c>
    </row>
    <row r="10" ht="22.5" customHeight="1">
      <c r="A10" s="64">
        <v>46086.348740416666</v>
      </c>
      <c r="B10" s="65">
        <v>652966.0160163472</v>
      </c>
    </row>
    <row r="11" ht="22.5" customHeight="1">
      <c r="A11" s="64">
        <v>46087.36072982639</v>
      </c>
      <c r="B11" s="65">
        <v>652534.6119746041</v>
      </c>
    </row>
    <row r="12" ht="22.5" customHeight="1">
      <c r="A12" s="64">
        <v>46090.43481582176</v>
      </c>
      <c r="B12" s="65">
        <v>651747.4768871139</v>
      </c>
    </row>
    <row r="13" ht="22.5" customHeight="1">
      <c r="A13" s="64">
        <v>46091.40083302083</v>
      </c>
      <c r="B13" s="65">
        <v>651447.0339046305</v>
      </c>
    </row>
    <row r="14" ht="22.5" customHeight="1">
      <c r="A14" s="64">
        <v>46092.44177174769</v>
      </c>
      <c r="B14" s="65">
        <v>663029.6670866626</v>
      </c>
    </row>
    <row r="15" ht="22.5" customHeight="1">
      <c r="A15" s="64">
        <v>46093.38532710648</v>
      </c>
      <c r="B15" s="65">
        <v>664339.9495784655</v>
      </c>
    </row>
    <row r="16" ht="22.5" customHeight="1">
      <c r="A16" s="64">
        <v>46094.37642143518</v>
      </c>
      <c r="B16" s="65">
        <v>663873.77598098</v>
      </c>
    </row>
    <row r="17" ht="22.5" customHeight="1">
      <c r="A17" s="64">
        <v>46097.40883966435</v>
      </c>
      <c r="B17" s="65">
        <v>664258.4382414207</v>
      </c>
    </row>
    <row r="18" ht="22.5" customHeight="1">
      <c r="A18" s="64">
        <v>46098.39826987269</v>
      </c>
      <c r="B18" s="65">
        <v>666280.8445759421</v>
      </c>
    </row>
    <row r="19" ht="22.5" customHeight="1">
      <c r="A19" s="64">
        <v>46099.40918716435</v>
      </c>
      <c r="B19" s="65">
        <v>667764.5448462964</v>
      </c>
    </row>
    <row r="20" ht="22.5" customHeight="1">
      <c r="A20" s="64">
        <v>46101.36181284722</v>
      </c>
      <c r="B20" s="65">
        <v>666312.617335113</v>
      </c>
    </row>
    <row r="21" ht="22.5" customHeight="1">
      <c r="A21" s="64">
        <v>46104.411823159724</v>
      </c>
      <c r="B21" s="65">
        <v>664758.6875806941</v>
      </c>
    </row>
    <row r="22" ht="22.5" customHeight="1">
      <c r="A22" s="64">
        <v>46105.416055231486</v>
      </c>
      <c r="B22" s="65">
        <v>663270.5256810017</v>
      </c>
    </row>
    <row r="23" ht="22.5" customHeight="1">
      <c r="A23" s="64">
        <v>46106.41935744213</v>
      </c>
      <c r="B23" s="65">
        <v>665089.8971183399</v>
      </c>
    </row>
    <row r="24" ht="22.5" customHeight="1">
      <c r="A24" s="64">
        <v>46107.34606707176</v>
      </c>
      <c r="B24" s="65">
        <v>665378.556504849</v>
      </c>
    </row>
    <row r="25" ht="22.5" customHeight="1">
      <c r="A25" s="64">
        <v>46108.43950552083</v>
      </c>
      <c r="B25" s="65">
        <v>663764.0546458843</v>
      </c>
    </row>
    <row r="26" ht="22.5" customHeight="1">
      <c r="A26" s="64">
        <v>46111.39082119213</v>
      </c>
      <c r="B26" s="65">
        <v>661951.8863511661</v>
      </c>
    </row>
    <row r="27" ht="22.5" customHeight="1">
      <c r="A27" s="64">
        <v>46112.39407326389</v>
      </c>
      <c r="B27" s="65">
        <v>661003.82</v>
      </c>
    </row>
    <row r="28" ht="22.5" customHeight="1">
      <c r="A28" s="64">
        <v>46113.439177673616</v>
      </c>
      <c r="B28" s="65">
        <v>663893.6492265314</v>
      </c>
    </row>
    <row r="29" ht="22.5" customHeight="1">
      <c r="A29" s="64">
        <v>46114.37944721065</v>
      </c>
      <c r="B29" s="65">
        <v>665418.8664694164</v>
      </c>
    </row>
    <row r="30" ht="22.5" customHeight="1">
      <c r="A30" s="64">
        <v>46115.352813680554</v>
      </c>
      <c r="B30" s="65">
        <v>665902.5932096178</v>
      </c>
    </row>
    <row r="31" ht="22.5" customHeight="1">
      <c r="A31" s="64">
        <v>46119.399075740745</v>
      </c>
      <c r="B31" s="65">
        <v>657884.5056834671</v>
      </c>
    </row>
    <row r="32" ht="22.5" customHeight="1">
      <c r="A32" s="64">
        <v>46120.396224212964</v>
      </c>
      <c r="B32" s="65">
        <v>663221.0414374074</v>
      </c>
    </row>
    <row r="33" ht="22.5" customHeight="1">
      <c r="A33" s="64">
        <v>46121.36667853009</v>
      </c>
      <c r="B33" s="65">
        <v>664752.84</v>
      </c>
    </row>
    <row r="34" ht="22.5" customHeight="1">
      <c r="A34" s="64">
        <v>46122.377955324075</v>
      </c>
      <c r="B34" s="65">
        <v>667006.6023392032</v>
      </c>
    </row>
    <row r="35" ht="22.5" customHeight="1">
      <c r="A35" s="64">
        <v>46128.342231041664</v>
      </c>
      <c r="B35" s="65">
        <v>670409.2922194804</v>
      </c>
    </row>
    <row r="36" ht="22.5" customHeight="1">
      <c r="A36" s="64">
        <v>46129.35311804398</v>
      </c>
      <c r="B36" s="65">
        <v>671167.2401334137</v>
      </c>
    </row>
    <row r="37" ht="22.5" customHeight="1">
      <c r="A37" s="64">
        <v>46132.396947835645</v>
      </c>
      <c r="B37" s="65">
        <v>773609.57</v>
      </c>
    </row>
    <row r="38" ht="22.5" customHeight="1">
      <c r="A38" s="64">
        <v>46133.38672675926</v>
      </c>
      <c r="B38" s="65">
        <v>775311.9863492674</v>
      </c>
    </row>
    <row r="39" ht="22.5" customHeight="1">
      <c r="A39" s="64">
        <v>46134.39299758102</v>
      </c>
      <c r="B39" s="65">
        <v>775317.5293585082</v>
      </c>
    </row>
    <row r="40" ht="22.5" customHeight="1">
      <c r="A40" s="64">
        <v>46135.40469232639</v>
      </c>
      <c r="B40" s="65">
        <v>778076.09</v>
      </c>
    </row>
    <row r="41" ht="22.5" customHeight="1">
      <c r="A41" s="64">
        <v>46136.35093853009</v>
      </c>
      <c r="B41" s="65">
        <v>777434.1710640849</v>
      </c>
    </row>
    <row r="42" ht="22.5" customHeight="1">
      <c r="A42" s="64">
        <v>46139.405903067134</v>
      </c>
      <c r="B42" s="65">
        <v>777605.8007331938</v>
      </c>
    </row>
    <row r="43" ht="22.5" customHeight="1">
      <c r="A43" s="64">
        <v>46140.38645878472</v>
      </c>
      <c r="B43" s="65">
        <v>779532.3531713863</v>
      </c>
    </row>
    <row r="44" ht="22.5" customHeight="1">
      <c r="A44" s="64">
        <v>46141.433009872686</v>
      </c>
      <c r="B44" s="65">
        <v>779048.8346109341</v>
      </c>
    </row>
    <row r="45" ht="22.5" customHeight="1">
      <c r="A45" s="64">
        <v>46142.35590333333</v>
      </c>
      <c r="B45" s="65">
        <v>780094.8026776989</v>
      </c>
    </row>
    <row r="46" ht="22.5" customHeight="1">
      <c r="A46" s="64">
        <v>46143.3780887037</v>
      </c>
      <c r="B46" s="65">
        <v>781196.9888340936</v>
      </c>
    </row>
    <row r="47" ht="22.5" customHeight="1">
      <c r="A47" s="64">
        <v>46147.48121351852</v>
      </c>
      <c r="B47" s="65">
        <v>784198.5020417973</v>
      </c>
    </row>
    <row r="48" ht="22.5" customHeight="1">
      <c r="A48" s="64">
        <v>46148.41693925926</v>
      </c>
      <c r="B48" s="65">
        <v>785869.6625675091</v>
      </c>
    </row>
    <row r="49" ht="22.5" customHeight="1">
      <c r="A49" s="64">
        <v>46149.35989836806</v>
      </c>
      <c r="B49" s="65">
        <v>787531.2430491854</v>
      </c>
    </row>
    <row r="50" ht="22.5" customHeight="1">
      <c r="A50" s="64">
        <v>46150.35312824074</v>
      </c>
      <c r="B50" s="65">
        <v>786872.6287736648</v>
      </c>
    </row>
    <row r="51" ht="22.5" customHeight="1">
      <c r="A51" s="64">
        <v>46153.45489678241</v>
      </c>
      <c r="B51" s="65">
        <v>789939.3868555</v>
      </c>
    </row>
    <row r="52" ht="22.5" customHeight="1">
      <c r="A52" s="64">
        <v>46154.39770016204</v>
      </c>
      <c r="B52" s="65">
        <v>791913.364697153</v>
      </c>
    </row>
    <row r="53" ht="22.5" customHeight="1">
      <c r="A53" s="64">
        <v>46155.39439027778</v>
      </c>
      <c r="B53" s="65">
        <v>791940.2909481854</v>
      </c>
    </row>
    <row r="54" ht="22.5" customHeight="1">
      <c r="A54" s="64">
        <v>46156.34678414352</v>
      </c>
      <c r="B54" s="65">
        <v>794142.78</v>
      </c>
    </row>
    <row r="55" ht="22.5" customHeight="1">
      <c r="A55" s="64">
        <v>46157.38401621528</v>
      </c>
      <c r="B55" s="65">
        <v>795683.2822787022</v>
      </c>
    </row>
    <row r="56" ht="22.5" customHeight="1">
      <c r="A56" s="64">
        <v>46160.628232233794</v>
      </c>
      <c r="B56" s="65">
        <v>794425.24207879</v>
      </c>
    </row>
    <row r="57" ht="22.5" customHeight="1">
      <c r="A57" s="64">
        <v>46164.36539670139</v>
      </c>
      <c r="B57" s="66">
        <v>792116.4</v>
      </c>
    </row>
    <row r="58" ht="22.5" customHeight="1">
      <c r="A58" s="64">
        <v>46168.50003417824</v>
      </c>
      <c r="B58" s="65">
        <v>793673.7886693554</v>
      </c>
    </row>
    <row r="59" ht="22.5" customHeight="1">
      <c r="A59" s="64">
        <v>46170.379408761575</v>
      </c>
      <c r="B59" s="65">
        <v>797479.6667188893</v>
      </c>
    </row>
    <row r="60" ht="22.5" customHeight="1">
      <c r="A60" s="64"/>
      <c r="B60" s="65"/>
    </row>
    <row r="61" ht="22.5" customHeight="1">
      <c r="A61" s="64"/>
      <c r="B61" s="65"/>
    </row>
    <row r="62" ht="22.5" customHeight="1">
      <c r="A62" s="64"/>
      <c r="B62" s="65"/>
    </row>
    <row r="63" ht="22.5" customHeight="1">
      <c r="A63" s="64"/>
      <c r="B63" s="65"/>
    </row>
    <row r="64" ht="22.5" customHeight="1">
      <c r="A64" s="64"/>
      <c r="B64" s="65"/>
    </row>
    <row r="65" ht="22.5" customHeight="1">
      <c r="A65" s="64"/>
      <c r="B65" s="65"/>
    </row>
    <row r="66" ht="22.5" customHeight="1">
      <c r="A66" s="64"/>
      <c r="B66" s="65"/>
    </row>
    <row r="67" ht="22.5" customHeight="1">
      <c r="A67" s="64"/>
      <c r="B67" s="65"/>
    </row>
    <row r="68" ht="22.5" customHeight="1">
      <c r="A68" s="64"/>
      <c r="B68" s="65"/>
    </row>
    <row r="69" ht="22.5" customHeight="1">
      <c r="A69" s="64"/>
      <c r="B69" s="65"/>
    </row>
    <row r="70" ht="22.5" customHeight="1">
      <c r="A70" s="64"/>
      <c r="B70" s="65"/>
    </row>
    <row r="71" ht="22.5" customHeight="1">
      <c r="A71" s="64"/>
      <c r="B71" s="65"/>
    </row>
    <row r="72" ht="22.5" customHeight="1">
      <c r="A72" s="64"/>
      <c r="B72" s="65"/>
    </row>
    <row r="73" ht="22.5" customHeight="1">
      <c r="A73" s="64"/>
      <c r="B73" s="65"/>
    </row>
    <row r="74" ht="22.5" customHeight="1">
      <c r="A74" s="64"/>
      <c r="B74" s="65"/>
    </row>
    <row r="75" ht="22.5" customHeight="1">
      <c r="A75" s="64"/>
      <c r="B75" s="65"/>
    </row>
    <row r="76" ht="22.5" customHeight="1">
      <c r="A76" s="64"/>
      <c r="B76" s="65"/>
    </row>
    <row r="77" ht="22.5" customHeight="1">
      <c r="A77" s="64"/>
      <c r="B77" s="65"/>
    </row>
    <row r="78" ht="22.5" customHeight="1">
      <c r="A78" s="64"/>
      <c r="B78" s="65"/>
    </row>
    <row r="79" ht="22.5" customHeight="1">
      <c r="A79" s="64"/>
      <c r="B79" s="65"/>
    </row>
    <row r="80" ht="22.5" customHeight="1">
      <c r="A80" s="64"/>
      <c r="B80" s="65"/>
    </row>
    <row r="81" ht="22.5" customHeight="1">
      <c r="A81" s="64"/>
      <c r="B81" s="65"/>
    </row>
    <row r="82" ht="22.5" customHeight="1">
      <c r="A82" s="64"/>
      <c r="B82" s="65"/>
    </row>
    <row r="83" ht="22.5" customHeight="1">
      <c r="A83" s="64"/>
      <c r="B83" s="65"/>
    </row>
    <row r="84" ht="22.5" customHeight="1">
      <c r="A84" s="64"/>
      <c r="B84" s="65"/>
    </row>
    <row r="85" ht="22.5" customHeight="1">
      <c r="A85" s="64"/>
      <c r="B85" s="65"/>
    </row>
    <row r="86" ht="22.5" customHeight="1">
      <c r="A86" s="64"/>
      <c r="B86" s="65"/>
    </row>
    <row r="87" ht="22.5" customHeight="1">
      <c r="A87" s="64"/>
      <c r="B87" s="65"/>
    </row>
    <row r="88" ht="22.5" customHeight="1">
      <c r="A88" s="64"/>
      <c r="B88" s="65"/>
    </row>
    <row r="89" ht="22.5" customHeight="1">
      <c r="A89" s="64"/>
      <c r="B89" s="65"/>
    </row>
    <row r="90" ht="22.5" customHeight="1">
      <c r="A90" s="64"/>
      <c r="B90" s="65"/>
    </row>
    <row r="91" ht="22.5" customHeight="1">
      <c r="A91" s="64"/>
      <c r="B91" s="65"/>
    </row>
    <row r="92" ht="22.5" customHeight="1">
      <c r="A92" s="64"/>
      <c r="B92" s="65"/>
    </row>
    <row r="93" ht="22.5" customHeight="1">
      <c r="A93" s="64"/>
      <c r="B93" s="65"/>
    </row>
    <row r="94" ht="22.5" customHeight="1">
      <c r="A94" s="64"/>
      <c r="B94" s="65"/>
    </row>
    <row r="95" ht="22.5" customHeight="1">
      <c r="A95" s="64"/>
      <c r="B95" s="65"/>
    </row>
    <row r="96" ht="22.5" customHeight="1">
      <c r="A96" s="64"/>
      <c r="B96" s="65"/>
    </row>
    <row r="97" ht="22.5" customHeight="1">
      <c r="A97" s="64"/>
      <c r="B97" s="65"/>
    </row>
    <row r="98" ht="22.5" customHeight="1">
      <c r="A98" s="64"/>
      <c r="B98" s="65"/>
    </row>
    <row r="99" ht="22.5" customHeight="1">
      <c r="A99" s="64"/>
      <c r="B99" s="65"/>
    </row>
    <row r="100" ht="22.5" customHeight="1">
      <c r="A100" s="64"/>
      <c r="B100" s="65"/>
    </row>
    <row r="101">
      <c r="A101" s="67"/>
      <c r="B101" s="68"/>
    </row>
    <row r="102">
      <c r="A102" s="67"/>
      <c r="B102" s="68"/>
    </row>
    <row r="103">
      <c r="A103" s="67"/>
      <c r="B103" s="68"/>
    </row>
    <row r="104">
      <c r="A104" s="67"/>
      <c r="B104" s="68"/>
    </row>
    <row r="105">
      <c r="A105" s="67"/>
      <c r="B105" s="68"/>
    </row>
    <row r="106">
      <c r="A106" s="67"/>
      <c r="B106" s="68"/>
    </row>
    <row r="107">
      <c r="A107" s="67"/>
      <c r="B107" s="68"/>
    </row>
    <row r="108">
      <c r="A108" s="67"/>
      <c r="B108" s="68"/>
    </row>
    <row r="109">
      <c r="A109" s="67"/>
      <c r="B109" s="68"/>
    </row>
    <row r="110">
      <c r="A110" s="67"/>
      <c r="B110" s="68"/>
    </row>
    <row r="111">
      <c r="A111" s="67"/>
      <c r="B111" s="68"/>
    </row>
    <row r="112">
      <c r="A112" s="67"/>
      <c r="B112" s="68"/>
    </row>
    <row r="113">
      <c r="A113" s="67"/>
      <c r="B113" s="68"/>
    </row>
    <row r="114">
      <c r="A114" s="67"/>
      <c r="B114" s="68"/>
    </row>
    <row r="115">
      <c r="A115" s="67"/>
      <c r="B115" s="68"/>
    </row>
    <row r="116">
      <c r="A116" s="67"/>
      <c r="B116" s="68"/>
    </row>
    <row r="117">
      <c r="A117" s="67"/>
      <c r="B117" s="68"/>
    </row>
    <row r="118">
      <c r="A118" s="67"/>
      <c r="B118" s="68"/>
    </row>
    <row r="119">
      <c r="A119" s="67"/>
      <c r="B119" s="68"/>
    </row>
    <row r="120">
      <c r="A120" s="67"/>
      <c r="B120" s="68"/>
    </row>
    <row r="121">
      <c r="A121" s="67"/>
      <c r="B121" s="68"/>
    </row>
    <row r="122">
      <c r="A122" s="67"/>
      <c r="B122" s="68"/>
    </row>
    <row r="123">
      <c r="A123" s="67"/>
      <c r="B123" s="68"/>
    </row>
    <row r="124">
      <c r="A124" s="67"/>
      <c r="B124" s="68"/>
    </row>
    <row r="125">
      <c r="A125" s="67"/>
      <c r="B125" s="68"/>
    </row>
    <row r="126">
      <c r="A126" s="67"/>
      <c r="B126" s="68"/>
    </row>
    <row r="127">
      <c r="A127" s="67"/>
      <c r="B127" s="68"/>
    </row>
    <row r="128">
      <c r="A128" s="67"/>
      <c r="B128" s="68"/>
    </row>
    <row r="129">
      <c r="A129" s="67"/>
      <c r="B129" s="68"/>
    </row>
    <row r="130">
      <c r="A130" s="67"/>
      <c r="B130" s="68"/>
    </row>
    <row r="131">
      <c r="A131" s="67"/>
      <c r="B131" s="68"/>
    </row>
    <row r="132">
      <c r="A132" s="67"/>
      <c r="B132" s="68"/>
    </row>
    <row r="133">
      <c r="A133" s="67"/>
      <c r="B133" s="68"/>
    </row>
    <row r="134">
      <c r="A134" s="67"/>
      <c r="B134" s="68"/>
    </row>
    <row r="135">
      <c r="A135" s="67"/>
      <c r="B135" s="68"/>
    </row>
    <row r="136">
      <c r="A136" s="67"/>
      <c r="B136" s="68"/>
    </row>
    <row r="137">
      <c r="A137" s="67"/>
      <c r="B137" s="68"/>
    </row>
    <row r="138">
      <c r="A138" s="67"/>
      <c r="B138" s="68"/>
    </row>
    <row r="139">
      <c r="A139" s="67"/>
      <c r="B139" s="68"/>
    </row>
    <row r="140">
      <c r="A140" s="67"/>
      <c r="B140" s="68"/>
    </row>
    <row r="141">
      <c r="A141" s="67"/>
      <c r="B141" s="68"/>
    </row>
    <row r="142">
      <c r="A142" s="67"/>
      <c r="B142" s="68"/>
    </row>
    <row r="143">
      <c r="A143" s="67"/>
      <c r="B143" s="68"/>
    </row>
    <row r="144">
      <c r="A144" s="67"/>
      <c r="B144" s="68"/>
    </row>
    <row r="145">
      <c r="A145" s="67"/>
      <c r="B145" s="68"/>
    </row>
    <row r="146">
      <c r="A146" s="67"/>
      <c r="B146" s="68"/>
    </row>
    <row r="147">
      <c r="A147" s="67"/>
      <c r="B147" s="68"/>
    </row>
    <row r="148">
      <c r="A148" s="67"/>
      <c r="B148" s="68"/>
    </row>
    <row r="149">
      <c r="A149" s="67"/>
      <c r="B149" s="68"/>
    </row>
    <row r="150">
      <c r="A150" s="67"/>
      <c r="B150" s="68"/>
    </row>
    <row r="151">
      <c r="A151" s="67"/>
      <c r="B151" s="68"/>
    </row>
    <row r="152">
      <c r="A152" s="67"/>
      <c r="B152" s="68"/>
    </row>
    <row r="153">
      <c r="A153" s="67"/>
      <c r="B153" s="68"/>
    </row>
    <row r="154">
      <c r="A154" s="67"/>
      <c r="B154" s="68"/>
    </row>
    <row r="155">
      <c r="A155" s="67"/>
      <c r="B155" s="68"/>
    </row>
    <row r="156">
      <c r="A156" s="67"/>
      <c r="B156" s="68"/>
    </row>
    <row r="157">
      <c r="A157" s="67"/>
      <c r="B157" s="68"/>
    </row>
    <row r="158">
      <c r="A158" s="67"/>
      <c r="B158" s="68"/>
    </row>
    <row r="159">
      <c r="A159" s="67"/>
      <c r="B159" s="68"/>
    </row>
    <row r="160">
      <c r="A160" s="67"/>
      <c r="B160" s="68"/>
    </row>
    <row r="161">
      <c r="A161" s="67"/>
      <c r="B161" s="68"/>
    </row>
    <row r="162">
      <c r="A162" s="67"/>
      <c r="B162" s="68"/>
    </row>
    <row r="163">
      <c r="A163" s="67"/>
      <c r="B163" s="68"/>
    </row>
    <row r="164">
      <c r="A164" s="67"/>
      <c r="B164" s="68"/>
    </row>
    <row r="165">
      <c r="A165" s="67"/>
      <c r="B165" s="68"/>
    </row>
    <row r="166">
      <c r="A166" s="67"/>
      <c r="B166" s="68"/>
    </row>
    <row r="167">
      <c r="A167" s="67"/>
      <c r="B167" s="68"/>
    </row>
    <row r="168">
      <c r="A168" s="67"/>
      <c r="B168" s="68"/>
    </row>
    <row r="169">
      <c r="A169" s="67"/>
      <c r="B169" s="68"/>
    </row>
    <row r="170">
      <c r="A170" s="67"/>
      <c r="B170" s="68"/>
    </row>
    <row r="171">
      <c r="A171" s="67"/>
      <c r="B171" s="68"/>
    </row>
    <row r="172">
      <c r="A172" s="67"/>
      <c r="B172" s="68"/>
    </row>
    <row r="173">
      <c r="A173" s="67"/>
      <c r="B173" s="68"/>
    </row>
    <row r="174">
      <c r="A174" s="67"/>
      <c r="B174" s="68"/>
    </row>
    <row r="175">
      <c r="A175" s="67"/>
      <c r="B175" s="68"/>
    </row>
    <row r="176">
      <c r="A176" s="67"/>
      <c r="B176" s="68"/>
    </row>
    <row r="177">
      <c r="A177" s="67"/>
      <c r="B177" s="68"/>
    </row>
    <row r="178">
      <c r="A178" s="67"/>
      <c r="B178" s="68"/>
    </row>
    <row r="179">
      <c r="A179" s="67"/>
      <c r="B179" s="68"/>
    </row>
    <row r="180">
      <c r="A180" s="67"/>
      <c r="B180" s="68"/>
    </row>
    <row r="181">
      <c r="A181" s="67"/>
      <c r="B181" s="68"/>
    </row>
    <row r="182">
      <c r="A182" s="67"/>
      <c r="B182" s="68"/>
    </row>
    <row r="183">
      <c r="A183" s="67"/>
      <c r="B183" s="68"/>
    </row>
    <row r="184">
      <c r="A184" s="67"/>
      <c r="B184" s="68"/>
    </row>
    <row r="185">
      <c r="A185" s="67"/>
      <c r="B185" s="68"/>
    </row>
    <row r="186">
      <c r="A186" s="67"/>
      <c r="B186" s="68"/>
    </row>
    <row r="187">
      <c r="A187" s="67"/>
      <c r="B187" s="68"/>
    </row>
    <row r="188">
      <c r="A188" s="67"/>
      <c r="B188" s="68"/>
    </row>
    <row r="189">
      <c r="A189" s="67"/>
      <c r="B189" s="68"/>
    </row>
    <row r="190">
      <c r="A190" s="67"/>
      <c r="B190" s="68"/>
    </row>
    <row r="191">
      <c r="A191" s="67"/>
      <c r="B191" s="68"/>
    </row>
    <row r="192">
      <c r="A192" s="67"/>
      <c r="B192" s="68"/>
    </row>
    <row r="193">
      <c r="A193" s="67"/>
      <c r="B193" s="68"/>
    </row>
    <row r="194">
      <c r="A194" s="67"/>
      <c r="B194" s="68"/>
    </row>
    <row r="195">
      <c r="A195" s="67"/>
      <c r="B195" s="68"/>
    </row>
    <row r="196">
      <c r="A196" s="67"/>
      <c r="B196" s="68"/>
    </row>
    <row r="197">
      <c r="A197" s="67"/>
      <c r="B197" s="68"/>
    </row>
    <row r="198">
      <c r="A198" s="67"/>
      <c r="B198" s="68"/>
    </row>
    <row r="199">
      <c r="A199" s="67"/>
      <c r="B199" s="68"/>
    </row>
    <row r="200">
      <c r="A200" s="67"/>
      <c r="B200" s="68"/>
    </row>
    <row r="201">
      <c r="A201" s="67"/>
      <c r="B201" s="68"/>
    </row>
    <row r="202">
      <c r="A202" s="67"/>
      <c r="B202" s="68"/>
    </row>
    <row r="203">
      <c r="A203" s="67"/>
      <c r="B203" s="68"/>
    </row>
    <row r="204">
      <c r="A204" s="67"/>
      <c r="B204" s="68"/>
    </row>
    <row r="205">
      <c r="A205" s="67"/>
      <c r="B205" s="68"/>
    </row>
    <row r="206">
      <c r="A206" s="67"/>
      <c r="B206" s="68"/>
    </row>
    <row r="207">
      <c r="A207" s="67"/>
      <c r="B207" s="68"/>
    </row>
    <row r="208">
      <c r="A208" s="67"/>
      <c r="B208" s="68"/>
    </row>
    <row r="209">
      <c r="A209" s="67"/>
      <c r="B209" s="68"/>
    </row>
    <row r="210">
      <c r="A210" s="67"/>
      <c r="B210" s="68"/>
    </row>
    <row r="211">
      <c r="A211" s="67"/>
      <c r="B211" s="68"/>
    </row>
    <row r="212">
      <c r="A212" s="67"/>
      <c r="B212" s="68"/>
    </row>
    <row r="213">
      <c r="A213" s="67"/>
      <c r="B213" s="68"/>
    </row>
    <row r="214">
      <c r="A214" s="67"/>
      <c r="B214" s="68"/>
    </row>
    <row r="215">
      <c r="A215" s="67"/>
      <c r="B215" s="68"/>
    </row>
    <row r="216">
      <c r="A216" s="67"/>
      <c r="B216" s="68"/>
    </row>
    <row r="217">
      <c r="A217" s="67"/>
      <c r="B217" s="68"/>
    </row>
    <row r="218">
      <c r="A218" s="67"/>
      <c r="B218" s="68"/>
    </row>
    <row r="219">
      <c r="A219" s="67"/>
      <c r="B219" s="68"/>
    </row>
    <row r="220">
      <c r="A220" s="67"/>
      <c r="B220" s="68"/>
    </row>
    <row r="221">
      <c r="A221" s="67"/>
      <c r="B221" s="68"/>
    </row>
    <row r="222">
      <c r="A222" s="67"/>
      <c r="B222" s="68"/>
    </row>
    <row r="223">
      <c r="A223" s="67"/>
      <c r="B223" s="68"/>
    </row>
    <row r="224">
      <c r="A224" s="67"/>
      <c r="B224" s="68"/>
    </row>
    <row r="225">
      <c r="A225" s="67"/>
      <c r="B225" s="68"/>
    </row>
    <row r="226">
      <c r="A226" s="67"/>
      <c r="B226" s="68"/>
    </row>
    <row r="227">
      <c r="A227" s="67"/>
      <c r="B227" s="68"/>
    </row>
    <row r="228">
      <c r="A228" s="67"/>
      <c r="B228" s="68"/>
    </row>
    <row r="229">
      <c r="A229" s="67"/>
      <c r="B229" s="68"/>
    </row>
    <row r="230">
      <c r="A230" s="67"/>
      <c r="B230" s="68"/>
    </row>
    <row r="231">
      <c r="A231" s="67"/>
      <c r="B231" s="68"/>
    </row>
    <row r="232">
      <c r="A232" s="67"/>
      <c r="B232" s="68"/>
    </row>
    <row r="233">
      <c r="A233" s="67"/>
      <c r="B233" s="68"/>
    </row>
    <row r="234">
      <c r="A234" s="67"/>
      <c r="B234" s="68"/>
    </row>
    <row r="235">
      <c r="A235" s="67"/>
      <c r="B235" s="68"/>
    </row>
    <row r="236">
      <c r="A236" s="67"/>
      <c r="B236" s="68"/>
    </row>
    <row r="237">
      <c r="A237" s="67"/>
      <c r="B237" s="68"/>
    </row>
    <row r="238">
      <c r="A238" s="67"/>
      <c r="B238" s="68"/>
    </row>
    <row r="239">
      <c r="A239" s="67"/>
      <c r="B239" s="68"/>
    </row>
    <row r="240">
      <c r="A240" s="67"/>
      <c r="B240" s="68"/>
    </row>
    <row r="241">
      <c r="A241" s="67"/>
      <c r="B241" s="68"/>
    </row>
    <row r="242">
      <c r="A242" s="67"/>
      <c r="B242" s="68"/>
    </row>
    <row r="243">
      <c r="A243" s="67"/>
      <c r="B243" s="68"/>
    </row>
    <row r="244">
      <c r="A244" s="67"/>
      <c r="B244" s="68"/>
    </row>
    <row r="245">
      <c r="A245" s="67"/>
      <c r="B245" s="68"/>
    </row>
    <row r="246">
      <c r="A246" s="67"/>
      <c r="B246" s="68"/>
    </row>
    <row r="247">
      <c r="A247" s="67"/>
      <c r="B247" s="68"/>
    </row>
    <row r="248">
      <c r="A248" s="67"/>
      <c r="B248" s="68"/>
    </row>
    <row r="249">
      <c r="A249" s="67"/>
      <c r="B249" s="68"/>
    </row>
    <row r="250">
      <c r="A250" s="67"/>
      <c r="B250" s="68"/>
    </row>
    <row r="251">
      <c r="A251" s="67"/>
      <c r="B251" s="68"/>
    </row>
    <row r="252">
      <c r="A252" s="67"/>
      <c r="B252" s="68"/>
    </row>
    <row r="253">
      <c r="A253" s="67"/>
      <c r="B253" s="68"/>
    </row>
    <row r="254">
      <c r="A254" s="67"/>
      <c r="B254" s="68"/>
    </row>
    <row r="255">
      <c r="A255" s="67"/>
      <c r="B255" s="68"/>
    </row>
    <row r="256">
      <c r="A256" s="67"/>
      <c r="B256" s="68"/>
    </row>
    <row r="257">
      <c r="A257" s="67"/>
      <c r="B257" s="68"/>
    </row>
    <row r="258">
      <c r="A258" s="67"/>
      <c r="B258" s="68"/>
    </row>
    <row r="259">
      <c r="A259" s="67"/>
      <c r="B259" s="68"/>
    </row>
    <row r="260">
      <c r="A260" s="67"/>
      <c r="B260" s="68"/>
    </row>
    <row r="261">
      <c r="A261" s="67"/>
      <c r="B261" s="68"/>
    </row>
    <row r="262">
      <c r="A262" s="67"/>
      <c r="B262" s="68"/>
    </row>
    <row r="263">
      <c r="A263" s="67"/>
      <c r="B263" s="68"/>
    </row>
    <row r="264">
      <c r="A264" s="67"/>
      <c r="B264" s="68"/>
    </row>
    <row r="265">
      <c r="A265" s="67"/>
      <c r="B265" s="68"/>
    </row>
    <row r="266">
      <c r="A266" s="67"/>
      <c r="B266" s="68"/>
    </row>
    <row r="267">
      <c r="A267" s="67"/>
      <c r="B267" s="68"/>
    </row>
    <row r="268">
      <c r="A268" s="67"/>
      <c r="B268" s="68"/>
    </row>
    <row r="269">
      <c r="A269" s="67"/>
      <c r="B269" s="68"/>
    </row>
    <row r="270">
      <c r="A270" s="67"/>
      <c r="B270" s="68"/>
    </row>
    <row r="271">
      <c r="A271" s="67"/>
      <c r="B271" s="68"/>
    </row>
    <row r="272">
      <c r="A272" s="67"/>
      <c r="B272" s="68"/>
    </row>
    <row r="273">
      <c r="A273" s="67"/>
      <c r="B273" s="68"/>
    </row>
    <row r="274">
      <c r="A274" s="67"/>
      <c r="B274" s="68"/>
    </row>
    <row r="275">
      <c r="A275" s="67"/>
      <c r="B275" s="68"/>
    </row>
    <row r="276">
      <c r="A276" s="67"/>
      <c r="B276" s="68"/>
    </row>
    <row r="277">
      <c r="A277" s="67"/>
      <c r="B277" s="68"/>
    </row>
    <row r="278">
      <c r="A278" s="67"/>
      <c r="B278" s="68"/>
    </row>
    <row r="279">
      <c r="A279" s="67"/>
      <c r="B279" s="68"/>
    </row>
    <row r="280">
      <c r="A280" s="67"/>
      <c r="B280" s="68"/>
    </row>
    <row r="281">
      <c r="A281" s="67"/>
      <c r="B281" s="68"/>
    </row>
    <row r="282">
      <c r="A282" s="67"/>
      <c r="B282" s="68"/>
    </row>
    <row r="283">
      <c r="A283" s="67"/>
      <c r="B283" s="68"/>
    </row>
    <row r="284">
      <c r="A284" s="67"/>
      <c r="B284" s="68"/>
    </row>
    <row r="285">
      <c r="A285" s="67"/>
      <c r="B285" s="68"/>
    </row>
    <row r="286">
      <c r="A286" s="67"/>
      <c r="B286" s="68"/>
    </row>
    <row r="287">
      <c r="A287" s="67"/>
      <c r="B287" s="68"/>
    </row>
    <row r="288">
      <c r="A288" s="67"/>
      <c r="B288" s="68"/>
    </row>
    <row r="289">
      <c r="A289" s="67"/>
      <c r="B289" s="68"/>
    </row>
    <row r="290">
      <c r="A290" s="67"/>
      <c r="B290" s="68"/>
    </row>
    <row r="291">
      <c r="A291" s="67"/>
      <c r="B291" s="68"/>
    </row>
    <row r="292">
      <c r="A292" s="67"/>
      <c r="B292" s="68"/>
    </row>
    <row r="293">
      <c r="A293" s="67"/>
      <c r="B293" s="68"/>
    </row>
    <row r="294">
      <c r="A294" s="67"/>
      <c r="B294" s="68"/>
    </row>
    <row r="295">
      <c r="A295" s="67"/>
      <c r="B295" s="68"/>
    </row>
    <row r="296">
      <c r="A296" s="67"/>
      <c r="B296" s="68"/>
    </row>
    <row r="297">
      <c r="A297" s="67"/>
      <c r="B297" s="68"/>
    </row>
    <row r="298">
      <c r="A298" s="67"/>
      <c r="B298" s="68"/>
    </row>
    <row r="299">
      <c r="A299" s="67"/>
      <c r="B299" s="68"/>
    </row>
    <row r="300">
      <c r="A300" s="67"/>
      <c r="B300" s="68"/>
    </row>
    <row r="301">
      <c r="A301" s="67"/>
      <c r="B301" s="68"/>
    </row>
    <row r="302">
      <c r="A302" s="67"/>
      <c r="B302" s="68"/>
    </row>
    <row r="303">
      <c r="A303" s="67"/>
      <c r="B303" s="68"/>
    </row>
    <row r="304">
      <c r="A304" s="67"/>
      <c r="B304" s="68"/>
    </row>
    <row r="305">
      <c r="A305" s="67"/>
      <c r="B305" s="68"/>
    </row>
    <row r="306">
      <c r="A306" s="67"/>
      <c r="B306" s="68"/>
    </row>
    <row r="307">
      <c r="A307" s="67"/>
      <c r="B307" s="68"/>
    </row>
    <row r="308">
      <c r="A308" s="67"/>
      <c r="B308" s="68"/>
    </row>
    <row r="309">
      <c r="A309" s="67"/>
      <c r="B309" s="68"/>
    </row>
    <row r="310">
      <c r="A310" s="67"/>
      <c r="B310" s="68"/>
    </row>
    <row r="311">
      <c r="A311" s="67"/>
      <c r="B311" s="68"/>
    </row>
    <row r="312">
      <c r="A312" s="67"/>
      <c r="B312" s="68"/>
    </row>
    <row r="313">
      <c r="A313" s="67"/>
      <c r="B313" s="68"/>
    </row>
    <row r="314">
      <c r="A314" s="67"/>
      <c r="B314" s="68"/>
    </row>
    <row r="315">
      <c r="A315" s="67"/>
      <c r="B315" s="68"/>
    </row>
    <row r="316">
      <c r="A316" s="67"/>
      <c r="B316" s="68"/>
    </row>
    <row r="317">
      <c r="A317" s="67"/>
      <c r="B317" s="68"/>
    </row>
    <row r="318">
      <c r="A318" s="67"/>
      <c r="B318" s="68"/>
    </row>
    <row r="319">
      <c r="A319" s="67"/>
      <c r="B319" s="68"/>
    </row>
    <row r="320">
      <c r="A320" s="67"/>
      <c r="B320" s="68"/>
    </row>
    <row r="321">
      <c r="A321" s="67"/>
      <c r="B321" s="68"/>
    </row>
    <row r="322">
      <c r="A322" s="67"/>
      <c r="B322" s="68"/>
    </row>
    <row r="323">
      <c r="A323" s="67"/>
      <c r="B323" s="68"/>
    </row>
    <row r="324">
      <c r="A324" s="67"/>
      <c r="B324" s="68"/>
    </row>
    <row r="325">
      <c r="A325" s="67"/>
      <c r="B325" s="68"/>
    </row>
    <row r="326">
      <c r="A326" s="67"/>
      <c r="B326" s="68"/>
    </row>
    <row r="327">
      <c r="A327" s="67"/>
      <c r="B327" s="68"/>
    </row>
    <row r="328">
      <c r="A328" s="67"/>
      <c r="B328" s="68"/>
    </row>
    <row r="329">
      <c r="A329" s="67"/>
      <c r="B329" s="68"/>
    </row>
    <row r="330">
      <c r="A330" s="67"/>
      <c r="B330" s="68"/>
    </row>
    <row r="331">
      <c r="A331" s="67"/>
      <c r="B331" s="68"/>
    </row>
    <row r="332">
      <c r="A332" s="67"/>
      <c r="B332" s="68"/>
    </row>
    <row r="333">
      <c r="A333" s="67"/>
      <c r="B333" s="68"/>
    </row>
    <row r="334">
      <c r="A334" s="67"/>
      <c r="B334" s="68"/>
    </row>
    <row r="335">
      <c r="A335" s="67"/>
      <c r="B335" s="68"/>
    </row>
    <row r="336">
      <c r="A336" s="67"/>
      <c r="B336" s="68"/>
    </row>
    <row r="337">
      <c r="A337" s="67"/>
      <c r="B337" s="68"/>
    </row>
    <row r="338">
      <c r="A338" s="67"/>
      <c r="B338" s="68"/>
    </row>
    <row r="339">
      <c r="A339" s="67"/>
      <c r="B339" s="68"/>
    </row>
    <row r="340">
      <c r="A340" s="67"/>
      <c r="B340" s="68"/>
    </row>
    <row r="341">
      <c r="A341" s="67"/>
      <c r="B341" s="68"/>
    </row>
    <row r="342">
      <c r="A342" s="67"/>
      <c r="B342" s="68"/>
    </row>
    <row r="343">
      <c r="A343" s="67"/>
      <c r="B343" s="68"/>
    </row>
    <row r="344">
      <c r="A344" s="67"/>
      <c r="B344" s="68"/>
    </row>
    <row r="345">
      <c r="A345" s="67"/>
      <c r="B345" s="68"/>
    </row>
    <row r="346">
      <c r="A346" s="67"/>
      <c r="B346" s="68"/>
    </row>
    <row r="347">
      <c r="A347" s="67"/>
      <c r="B347" s="68"/>
    </row>
    <row r="348">
      <c r="A348" s="67"/>
      <c r="B348" s="68"/>
    </row>
    <row r="349">
      <c r="A349" s="67"/>
      <c r="B349" s="68"/>
    </row>
    <row r="350">
      <c r="A350" s="67"/>
      <c r="B350" s="68"/>
    </row>
    <row r="351">
      <c r="A351" s="67"/>
      <c r="B351" s="68"/>
    </row>
    <row r="352">
      <c r="A352" s="67"/>
      <c r="B352" s="68"/>
    </row>
    <row r="353">
      <c r="A353" s="67"/>
      <c r="B353" s="68"/>
    </row>
    <row r="354">
      <c r="A354" s="67"/>
      <c r="B354" s="68"/>
    </row>
    <row r="355">
      <c r="A355" s="67"/>
      <c r="B355" s="68"/>
    </row>
    <row r="356">
      <c r="A356" s="67"/>
      <c r="B356" s="68"/>
    </row>
    <row r="357">
      <c r="A357" s="67"/>
      <c r="B357" s="68"/>
    </row>
    <row r="358">
      <c r="A358" s="67"/>
      <c r="B358" s="68"/>
    </row>
    <row r="359">
      <c r="A359" s="67"/>
      <c r="B359" s="68"/>
    </row>
    <row r="360">
      <c r="A360" s="67"/>
      <c r="B360" s="68"/>
    </row>
    <row r="361">
      <c r="A361" s="67"/>
      <c r="B361" s="68"/>
    </row>
    <row r="362">
      <c r="A362" s="67"/>
      <c r="B362" s="68"/>
    </row>
    <row r="363">
      <c r="A363" s="67"/>
      <c r="B363" s="68"/>
    </row>
    <row r="364">
      <c r="A364" s="67"/>
      <c r="B364" s="68"/>
    </row>
    <row r="365">
      <c r="A365" s="67"/>
      <c r="B365" s="68"/>
    </row>
    <row r="366">
      <c r="A366" s="67"/>
      <c r="B366" s="68"/>
    </row>
    <row r="367">
      <c r="A367" s="67"/>
      <c r="B367" s="68"/>
    </row>
    <row r="368">
      <c r="A368" s="67"/>
      <c r="B368" s="68"/>
    </row>
    <row r="369">
      <c r="A369" s="67"/>
      <c r="B369" s="68"/>
    </row>
    <row r="370">
      <c r="A370" s="67"/>
      <c r="B370" s="68"/>
    </row>
    <row r="371">
      <c r="A371" s="67"/>
      <c r="B371" s="68"/>
    </row>
    <row r="372">
      <c r="A372" s="67"/>
      <c r="B372" s="68"/>
    </row>
    <row r="373">
      <c r="A373" s="67"/>
      <c r="B373" s="68"/>
    </row>
    <row r="374">
      <c r="A374" s="67"/>
      <c r="B374" s="68"/>
    </row>
    <row r="375">
      <c r="A375" s="67"/>
      <c r="B375" s="68"/>
    </row>
    <row r="376">
      <c r="A376" s="67"/>
      <c r="B376" s="68"/>
    </row>
    <row r="377">
      <c r="A377" s="67"/>
      <c r="B377" s="68"/>
    </row>
    <row r="378">
      <c r="A378" s="67"/>
      <c r="B378" s="68"/>
    </row>
    <row r="379">
      <c r="A379" s="67"/>
      <c r="B379" s="68"/>
    </row>
    <row r="380">
      <c r="A380" s="67"/>
      <c r="B380" s="68"/>
    </row>
    <row r="381">
      <c r="A381" s="67"/>
      <c r="B381" s="68"/>
    </row>
    <row r="382">
      <c r="A382" s="67"/>
      <c r="B382" s="68"/>
    </row>
    <row r="383">
      <c r="A383" s="67"/>
      <c r="B383" s="68"/>
    </row>
    <row r="384">
      <c r="A384" s="67"/>
      <c r="B384" s="68"/>
    </row>
    <row r="385">
      <c r="A385" s="67"/>
      <c r="B385" s="68"/>
    </row>
    <row r="386">
      <c r="A386" s="67"/>
      <c r="B386" s="68"/>
    </row>
    <row r="387">
      <c r="A387" s="67"/>
      <c r="B387" s="68"/>
    </row>
    <row r="388">
      <c r="A388" s="67"/>
      <c r="B388" s="68"/>
    </row>
    <row r="389">
      <c r="A389" s="67"/>
      <c r="B389" s="68"/>
    </row>
    <row r="390">
      <c r="A390" s="67"/>
      <c r="B390" s="68"/>
    </row>
    <row r="391">
      <c r="A391" s="67"/>
      <c r="B391" s="68"/>
    </row>
    <row r="392">
      <c r="A392" s="67"/>
      <c r="B392" s="68"/>
    </row>
    <row r="393">
      <c r="A393" s="67"/>
      <c r="B393" s="68"/>
    </row>
    <row r="394">
      <c r="A394" s="67"/>
      <c r="B394" s="68"/>
    </row>
    <row r="395">
      <c r="A395" s="67"/>
      <c r="B395" s="68"/>
    </row>
    <row r="396">
      <c r="A396" s="67"/>
      <c r="B396" s="68"/>
    </row>
    <row r="397">
      <c r="A397" s="67"/>
      <c r="B397" s="68"/>
    </row>
    <row r="398">
      <c r="A398" s="67"/>
      <c r="B398" s="68"/>
    </row>
    <row r="399">
      <c r="A399" s="67"/>
      <c r="B399" s="68"/>
    </row>
    <row r="400">
      <c r="A400" s="67"/>
      <c r="B400" s="68"/>
    </row>
    <row r="401">
      <c r="A401" s="67"/>
      <c r="B401" s="68"/>
    </row>
    <row r="402">
      <c r="A402" s="67"/>
      <c r="B402" s="68"/>
    </row>
    <row r="403">
      <c r="A403" s="67"/>
      <c r="B403" s="68"/>
    </row>
    <row r="404">
      <c r="A404" s="67"/>
      <c r="B404" s="68"/>
    </row>
    <row r="405">
      <c r="A405" s="67"/>
      <c r="B405" s="68"/>
    </row>
    <row r="406">
      <c r="A406" s="67"/>
      <c r="B406" s="68"/>
    </row>
    <row r="407">
      <c r="A407" s="67"/>
      <c r="B407" s="68"/>
    </row>
    <row r="408">
      <c r="A408" s="67"/>
      <c r="B408" s="68"/>
    </row>
    <row r="409">
      <c r="A409" s="67"/>
      <c r="B409" s="68"/>
    </row>
    <row r="410">
      <c r="A410" s="67"/>
      <c r="B410" s="68"/>
    </row>
    <row r="411">
      <c r="A411" s="67"/>
      <c r="B411" s="68"/>
    </row>
    <row r="412">
      <c r="A412" s="67"/>
      <c r="B412" s="68"/>
    </row>
    <row r="413">
      <c r="A413" s="67"/>
      <c r="B413" s="68"/>
    </row>
    <row r="414">
      <c r="A414" s="67"/>
      <c r="B414" s="68"/>
    </row>
    <row r="415">
      <c r="A415" s="67"/>
      <c r="B415" s="68"/>
    </row>
    <row r="416">
      <c r="A416" s="67"/>
      <c r="B416" s="68"/>
    </row>
    <row r="417">
      <c r="A417" s="67"/>
      <c r="B417" s="68"/>
    </row>
    <row r="418">
      <c r="A418" s="67"/>
      <c r="B418" s="68"/>
    </row>
    <row r="419">
      <c r="A419" s="67"/>
      <c r="B419" s="68"/>
    </row>
    <row r="420">
      <c r="A420" s="67"/>
      <c r="B420" s="68"/>
    </row>
    <row r="421">
      <c r="A421" s="67"/>
      <c r="B421" s="68"/>
    </row>
    <row r="422">
      <c r="A422" s="67"/>
      <c r="B422" s="68"/>
    </row>
    <row r="423">
      <c r="A423" s="67"/>
      <c r="B423" s="68"/>
    </row>
    <row r="424">
      <c r="A424" s="67"/>
      <c r="B424" s="68"/>
    </row>
    <row r="425">
      <c r="A425" s="67"/>
      <c r="B425" s="68"/>
    </row>
    <row r="426">
      <c r="A426" s="67"/>
      <c r="B426" s="68"/>
    </row>
    <row r="427">
      <c r="A427" s="67"/>
      <c r="B427" s="68"/>
    </row>
    <row r="428">
      <c r="A428" s="67"/>
      <c r="B428" s="68"/>
    </row>
    <row r="429">
      <c r="A429" s="67"/>
      <c r="B429" s="68"/>
    </row>
    <row r="430">
      <c r="A430" s="67"/>
      <c r="B430" s="68"/>
    </row>
    <row r="431">
      <c r="A431" s="67"/>
      <c r="B431" s="68"/>
    </row>
    <row r="432">
      <c r="A432" s="67"/>
      <c r="B432" s="68"/>
    </row>
    <row r="433">
      <c r="A433" s="67"/>
      <c r="B433" s="68"/>
    </row>
    <row r="434">
      <c r="A434" s="67"/>
      <c r="B434" s="68"/>
    </row>
    <row r="435">
      <c r="A435" s="67"/>
      <c r="B435" s="68"/>
    </row>
    <row r="436">
      <c r="A436" s="67"/>
      <c r="B436" s="68"/>
    </row>
    <row r="437">
      <c r="A437" s="67"/>
      <c r="B437" s="68"/>
    </row>
    <row r="438">
      <c r="A438" s="67"/>
      <c r="B438" s="68"/>
    </row>
    <row r="439">
      <c r="A439" s="67"/>
      <c r="B439" s="68"/>
    </row>
    <row r="440">
      <c r="A440" s="67"/>
      <c r="B440" s="68"/>
    </row>
    <row r="441">
      <c r="A441" s="67"/>
      <c r="B441" s="68"/>
    </row>
    <row r="442">
      <c r="A442" s="67"/>
      <c r="B442" s="68"/>
    </row>
    <row r="443">
      <c r="A443" s="67"/>
      <c r="B443" s="68"/>
    </row>
    <row r="444">
      <c r="A444" s="67"/>
      <c r="B444" s="68"/>
    </row>
    <row r="445">
      <c r="A445" s="67"/>
      <c r="B445" s="68"/>
    </row>
    <row r="446">
      <c r="A446" s="67"/>
      <c r="B446" s="68"/>
    </row>
    <row r="447">
      <c r="A447" s="67"/>
      <c r="B447" s="68"/>
    </row>
    <row r="448">
      <c r="A448" s="67"/>
      <c r="B448" s="68"/>
    </row>
    <row r="449">
      <c r="A449" s="67"/>
      <c r="B449" s="68"/>
    </row>
    <row r="450">
      <c r="A450" s="67"/>
      <c r="B450" s="68"/>
    </row>
    <row r="451">
      <c r="A451" s="67"/>
      <c r="B451" s="68"/>
    </row>
    <row r="452">
      <c r="A452" s="67"/>
      <c r="B452" s="68"/>
    </row>
    <row r="453">
      <c r="A453" s="67"/>
      <c r="B453" s="68"/>
    </row>
    <row r="454">
      <c r="A454" s="67"/>
      <c r="B454" s="68"/>
    </row>
    <row r="455">
      <c r="A455" s="67"/>
      <c r="B455" s="68"/>
    </row>
    <row r="456">
      <c r="A456" s="67"/>
      <c r="B456" s="68"/>
    </row>
    <row r="457">
      <c r="A457" s="67"/>
      <c r="B457" s="68"/>
    </row>
    <row r="458">
      <c r="A458" s="67"/>
      <c r="B458" s="68"/>
    </row>
    <row r="459">
      <c r="A459" s="67"/>
      <c r="B459" s="68"/>
    </row>
    <row r="460">
      <c r="A460" s="67"/>
      <c r="B460" s="68"/>
    </row>
    <row r="461">
      <c r="A461" s="67"/>
      <c r="B461" s="68"/>
    </row>
    <row r="462">
      <c r="A462" s="67"/>
      <c r="B462" s="68"/>
    </row>
    <row r="463">
      <c r="A463" s="67"/>
      <c r="B463" s="68"/>
    </row>
    <row r="464">
      <c r="A464" s="67"/>
      <c r="B464" s="68"/>
    </row>
    <row r="465">
      <c r="A465" s="67"/>
      <c r="B465" s="68"/>
    </row>
    <row r="466">
      <c r="A466" s="67"/>
      <c r="B466" s="68"/>
    </row>
    <row r="467">
      <c r="A467" s="67"/>
      <c r="B467" s="68"/>
    </row>
    <row r="468">
      <c r="A468" s="67"/>
      <c r="B468" s="68"/>
    </row>
    <row r="469">
      <c r="A469" s="67"/>
      <c r="B469" s="68"/>
    </row>
    <row r="470">
      <c r="A470" s="67"/>
      <c r="B470" s="68"/>
    </row>
    <row r="471">
      <c r="A471" s="67"/>
      <c r="B471" s="68"/>
    </row>
    <row r="472">
      <c r="A472" s="67"/>
      <c r="B472" s="68"/>
    </row>
    <row r="473">
      <c r="A473" s="67"/>
      <c r="B473" s="68"/>
    </row>
    <row r="474">
      <c r="A474" s="67"/>
      <c r="B474" s="68"/>
    </row>
    <row r="475">
      <c r="A475" s="67"/>
      <c r="B475" s="68"/>
    </row>
    <row r="476">
      <c r="A476" s="67"/>
      <c r="B476" s="68"/>
    </row>
    <row r="477">
      <c r="A477" s="67"/>
      <c r="B477" s="68"/>
    </row>
    <row r="478">
      <c r="A478" s="67"/>
      <c r="B478" s="68"/>
    </row>
    <row r="479">
      <c r="A479" s="67"/>
      <c r="B479" s="68"/>
    </row>
    <row r="480">
      <c r="A480" s="67"/>
      <c r="B480" s="68"/>
    </row>
    <row r="481">
      <c r="A481" s="67"/>
      <c r="B481" s="68"/>
    </row>
    <row r="482">
      <c r="A482" s="67"/>
      <c r="B482" s="68"/>
    </row>
    <row r="483">
      <c r="A483" s="67"/>
      <c r="B483" s="68"/>
    </row>
    <row r="484">
      <c r="A484" s="67"/>
      <c r="B484" s="68"/>
    </row>
    <row r="485">
      <c r="A485" s="67"/>
      <c r="B485" s="68"/>
    </row>
    <row r="486">
      <c r="A486" s="67"/>
      <c r="B486" s="68"/>
    </row>
    <row r="487">
      <c r="A487" s="67"/>
      <c r="B487" s="68"/>
    </row>
    <row r="488">
      <c r="A488" s="67"/>
      <c r="B488" s="68"/>
    </row>
    <row r="489">
      <c r="A489" s="67"/>
      <c r="B489" s="68"/>
    </row>
    <row r="490">
      <c r="A490" s="67"/>
      <c r="B490" s="68"/>
    </row>
    <row r="491">
      <c r="A491" s="67"/>
      <c r="B491" s="68"/>
    </row>
    <row r="492">
      <c r="A492" s="67"/>
      <c r="B492" s="68"/>
    </row>
    <row r="493">
      <c r="A493" s="67"/>
      <c r="B493" s="68"/>
    </row>
    <row r="494">
      <c r="A494" s="67"/>
      <c r="B494" s="68"/>
    </row>
    <row r="495">
      <c r="A495" s="67"/>
      <c r="B495" s="68"/>
    </row>
    <row r="496">
      <c r="A496" s="67"/>
      <c r="B496" s="68"/>
    </row>
    <row r="497">
      <c r="A497" s="67"/>
      <c r="B497" s="68"/>
    </row>
    <row r="498">
      <c r="A498" s="67"/>
      <c r="B498" s="68"/>
    </row>
    <row r="499">
      <c r="A499" s="67"/>
      <c r="B499" s="68"/>
    </row>
    <row r="500">
      <c r="A500" s="67"/>
      <c r="B500" s="68"/>
    </row>
    <row r="501">
      <c r="A501" s="67"/>
      <c r="B501" s="68"/>
    </row>
    <row r="502">
      <c r="A502" s="67"/>
      <c r="B502" s="68"/>
    </row>
    <row r="503">
      <c r="A503" s="67"/>
      <c r="B503" s="68"/>
    </row>
    <row r="504">
      <c r="A504" s="67"/>
      <c r="B504" s="68"/>
    </row>
    <row r="505">
      <c r="A505" s="67"/>
      <c r="B505" s="68"/>
    </row>
    <row r="506">
      <c r="A506" s="67"/>
      <c r="B506" s="68"/>
    </row>
    <row r="507">
      <c r="A507" s="67"/>
      <c r="B507" s="68"/>
    </row>
    <row r="508">
      <c r="A508" s="67"/>
      <c r="B508" s="68"/>
    </row>
    <row r="509">
      <c r="A509" s="67"/>
      <c r="B509" s="68"/>
    </row>
    <row r="510">
      <c r="A510" s="67"/>
      <c r="B510" s="68"/>
    </row>
    <row r="511">
      <c r="A511" s="67"/>
      <c r="B511" s="68"/>
    </row>
    <row r="512">
      <c r="A512" s="67"/>
      <c r="B512" s="68"/>
    </row>
    <row r="513">
      <c r="A513" s="67"/>
      <c r="B513" s="68"/>
    </row>
    <row r="514">
      <c r="A514" s="67"/>
      <c r="B514" s="68"/>
    </row>
    <row r="515">
      <c r="A515" s="67"/>
      <c r="B515" s="68"/>
    </row>
    <row r="516">
      <c r="A516" s="67"/>
      <c r="B516" s="68"/>
    </row>
    <row r="517">
      <c r="A517" s="67"/>
      <c r="B517" s="68"/>
    </row>
    <row r="518">
      <c r="A518" s="67"/>
      <c r="B518" s="68"/>
    </row>
    <row r="519">
      <c r="A519" s="67"/>
      <c r="B519" s="68"/>
    </row>
    <row r="520">
      <c r="A520" s="67"/>
      <c r="B520" s="68"/>
    </row>
    <row r="521">
      <c r="A521" s="67"/>
      <c r="B521" s="68"/>
    </row>
    <row r="522">
      <c r="A522" s="67"/>
      <c r="B522" s="68"/>
    </row>
    <row r="523">
      <c r="A523" s="67"/>
      <c r="B523" s="68"/>
    </row>
    <row r="524">
      <c r="A524" s="67"/>
      <c r="B524" s="68"/>
    </row>
    <row r="525">
      <c r="A525" s="67"/>
      <c r="B525" s="68"/>
    </row>
    <row r="526">
      <c r="A526" s="67"/>
      <c r="B526" s="68"/>
    </row>
    <row r="527">
      <c r="A527" s="67"/>
      <c r="B527" s="68"/>
    </row>
    <row r="528">
      <c r="A528" s="67"/>
      <c r="B528" s="68"/>
    </row>
    <row r="529">
      <c r="A529" s="67"/>
      <c r="B529" s="68"/>
    </row>
    <row r="530">
      <c r="A530" s="67"/>
      <c r="B530" s="68"/>
    </row>
    <row r="531">
      <c r="A531" s="67"/>
      <c r="B531" s="68"/>
    </row>
    <row r="532">
      <c r="A532" s="67"/>
      <c r="B532" s="68"/>
    </row>
    <row r="533">
      <c r="A533" s="67"/>
      <c r="B533" s="68"/>
    </row>
    <row r="534">
      <c r="A534" s="67"/>
      <c r="B534" s="68"/>
    </row>
    <row r="535">
      <c r="A535" s="67"/>
      <c r="B535" s="68"/>
    </row>
    <row r="536">
      <c r="A536" s="67"/>
      <c r="B536" s="68"/>
    </row>
    <row r="537">
      <c r="A537" s="67"/>
      <c r="B537" s="68"/>
    </row>
    <row r="538">
      <c r="A538" s="67"/>
      <c r="B538" s="68"/>
    </row>
    <row r="539">
      <c r="A539" s="67"/>
      <c r="B539" s="68"/>
    </row>
    <row r="540">
      <c r="A540" s="67"/>
      <c r="B540" s="68"/>
    </row>
    <row r="541">
      <c r="A541" s="67"/>
      <c r="B541" s="68"/>
    </row>
    <row r="542">
      <c r="A542" s="67"/>
      <c r="B542" s="68"/>
    </row>
    <row r="543">
      <c r="A543" s="67"/>
      <c r="B543" s="68"/>
    </row>
    <row r="544">
      <c r="A544" s="67"/>
      <c r="B544" s="68"/>
    </row>
    <row r="545">
      <c r="A545" s="67"/>
      <c r="B545" s="68"/>
    </row>
    <row r="546">
      <c r="A546" s="67"/>
      <c r="B546" s="68"/>
    </row>
    <row r="547">
      <c r="A547" s="67"/>
      <c r="B547" s="68"/>
    </row>
    <row r="548">
      <c r="A548" s="67"/>
      <c r="B548" s="68"/>
    </row>
    <row r="549">
      <c r="A549" s="67"/>
      <c r="B549" s="68"/>
    </row>
    <row r="550">
      <c r="A550" s="67"/>
      <c r="B550" s="68"/>
    </row>
    <row r="551">
      <c r="A551" s="67"/>
      <c r="B551" s="68"/>
    </row>
    <row r="552">
      <c r="A552" s="67"/>
      <c r="B552" s="68"/>
    </row>
    <row r="553">
      <c r="A553" s="67"/>
      <c r="B553" s="68"/>
    </row>
    <row r="554">
      <c r="A554" s="67"/>
      <c r="B554" s="68"/>
    </row>
    <row r="555">
      <c r="A555" s="67"/>
      <c r="B555" s="68"/>
    </row>
    <row r="556">
      <c r="A556" s="67"/>
      <c r="B556" s="68"/>
    </row>
    <row r="557">
      <c r="A557" s="67"/>
      <c r="B557" s="68"/>
    </row>
    <row r="558">
      <c r="A558" s="67"/>
      <c r="B558" s="68"/>
    </row>
    <row r="559">
      <c r="A559" s="67"/>
      <c r="B559" s="68"/>
    </row>
    <row r="560">
      <c r="A560" s="67"/>
      <c r="B560" s="68"/>
    </row>
    <row r="561">
      <c r="A561" s="67"/>
      <c r="B561" s="68"/>
    </row>
    <row r="562">
      <c r="A562" s="67"/>
      <c r="B562" s="68"/>
    </row>
    <row r="563">
      <c r="A563" s="67"/>
      <c r="B563" s="68"/>
    </row>
    <row r="564">
      <c r="A564" s="67"/>
      <c r="B564" s="68"/>
    </row>
    <row r="565">
      <c r="A565" s="67"/>
      <c r="B565" s="68"/>
    </row>
    <row r="566">
      <c r="A566" s="67"/>
      <c r="B566" s="68"/>
    </row>
    <row r="567">
      <c r="A567" s="67"/>
      <c r="B567" s="68"/>
    </row>
    <row r="568">
      <c r="A568" s="67"/>
      <c r="B568" s="68"/>
    </row>
    <row r="569">
      <c r="A569" s="67"/>
      <c r="B569" s="68"/>
    </row>
    <row r="570">
      <c r="A570" s="67"/>
      <c r="B570" s="68"/>
    </row>
    <row r="571">
      <c r="A571" s="67"/>
      <c r="B571" s="68"/>
    </row>
    <row r="572">
      <c r="A572" s="67"/>
      <c r="B572" s="68"/>
    </row>
    <row r="573">
      <c r="A573" s="67"/>
      <c r="B573" s="68"/>
    </row>
    <row r="574">
      <c r="A574" s="67"/>
      <c r="B574" s="68"/>
    </row>
    <row r="575">
      <c r="A575" s="67"/>
      <c r="B575" s="68"/>
    </row>
    <row r="576">
      <c r="A576" s="67"/>
      <c r="B576" s="68"/>
    </row>
    <row r="577">
      <c r="A577" s="67"/>
      <c r="B577" s="68"/>
    </row>
    <row r="578">
      <c r="A578" s="67"/>
      <c r="B578" s="68"/>
    </row>
    <row r="579">
      <c r="A579" s="67"/>
      <c r="B579" s="68"/>
    </row>
    <row r="580">
      <c r="A580" s="67"/>
      <c r="B580" s="68"/>
    </row>
    <row r="581">
      <c r="A581" s="67"/>
      <c r="B581" s="68"/>
    </row>
    <row r="582">
      <c r="A582" s="67"/>
      <c r="B582" s="68"/>
    </row>
    <row r="583">
      <c r="A583" s="67"/>
      <c r="B583" s="68"/>
    </row>
    <row r="584">
      <c r="A584" s="67"/>
      <c r="B584" s="68"/>
    </row>
    <row r="585">
      <c r="A585" s="67"/>
      <c r="B585" s="68"/>
    </row>
    <row r="586">
      <c r="A586" s="67"/>
      <c r="B586" s="68"/>
    </row>
    <row r="587">
      <c r="A587" s="67"/>
      <c r="B587" s="68"/>
    </row>
    <row r="588">
      <c r="A588" s="67"/>
      <c r="B588" s="68"/>
    </row>
    <row r="589">
      <c r="A589" s="67"/>
      <c r="B589" s="68"/>
    </row>
    <row r="590">
      <c r="A590" s="67"/>
      <c r="B590" s="68"/>
    </row>
    <row r="591">
      <c r="A591" s="67"/>
      <c r="B591" s="68"/>
    </row>
    <row r="592">
      <c r="A592" s="67"/>
      <c r="B592" s="68"/>
    </row>
    <row r="593">
      <c r="A593" s="67"/>
      <c r="B593" s="68"/>
    </row>
    <row r="594">
      <c r="A594" s="67"/>
      <c r="B594" s="68"/>
    </row>
    <row r="595">
      <c r="A595" s="67"/>
      <c r="B595" s="68"/>
    </row>
    <row r="596">
      <c r="A596" s="67"/>
      <c r="B596" s="68"/>
    </row>
    <row r="597">
      <c r="A597" s="67"/>
      <c r="B597" s="68"/>
    </row>
    <row r="598">
      <c r="A598" s="67"/>
      <c r="B598" s="68"/>
    </row>
    <row r="599">
      <c r="A599" s="67"/>
      <c r="B599" s="68"/>
    </row>
    <row r="600">
      <c r="A600" s="67"/>
      <c r="B600" s="68"/>
    </row>
    <row r="601">
      <c r="A601" s="67"/>
      <c r="B601" s="68"/>
    </row>
    <row r="602">
      <c r="A602" s="67"/>
      <c r="B602" s="68"/>
    </row>
    <row r="603">
      <c r="A603" s="67"/>
      <c r="B603" s="68"/>
    </row>
    <row r="604">
      <c r="A604" s="67"/>
      <c r="B604" s="68"/>
    </row>
    <row r="605">
      <c r="A605" s="67"/>
      <c r="B605" s="68"/>
    </row>
    <row r="606">
      <c r="A606" s="67"/>
      <c r="B606" s="68"/>
    </row>
    <row r="607">
      <c r="A607" s="67"/>
      <c r="B607" s="68"/>
    </row>
    <row r="608">
      <c r="A608" s="67"/>
      <c r="B608" s="68"/>
    </row>
    <row r="609">
      <c r="A609" s="67"/>
      <c r="B609" s="68"/>
    </row>
    <row r="610">
      <c r="A610" s="67"/>
      <c r="B610" s="68"/>
    </row>
    <row r="611">
      <c r="A611" s="67"/>
      <c r="B611" s="68"/>
    </row>
    <row r="612">
      <c r="A612" s="67"/>
      <c r="B612" s="68"/>
    </row>
    <row r="613">
      <c r="A613" s="67"/>
      <c r="B613" s="68"/>
    </row>
    <row r="614">
      <c r="A614" s="67"/>
      <c r="B614" s="68"/>
    </row>
    <row r="615">
      <c r="A615" s="67"/>
      <c r="B615" s="68"/>
    </row>
    <row r="616">
      <c r="A616" s="67"/>
      <c r="B616" s="68"/>
    </row>
    <row r="617">
      <c r="A617" s="67"/>
      <c r="B617" s="68"/>
    </row>
    <row r="618">
      <c r="A618" s="67"/>
      <c r="B618" s="68"/>
    </row>
    <row r="619">
      <c r="A619" s="67"/>
      <c r="B619" s="68"/>
    </row>
    <row r="620">
      <c r="A620" s="67"/>
      <c r="B620" s="68"/>
    </row>
    <row r="621">
      <c r="A621" s="67"/>
      <c r="B621" s="68"/>
    </row>
    <row r="622">
      <c r="A622" s="67"/>
      <c r="B622" s="68"/>
    </row>
    <row r="623">
      <c r="A623" s="67"/>
      <c r="B623" s="68"/>
    </row>
    <row r="624">
      <c r="A624" s="67"/>
      <c r="B624" s="68"/>
    </row>
    <row r="625">
      <c r="A625" s="67"/>
      <c r="B625" s="68"/>
    </row>
    <row r="626">
      <c r="A626" s="67"/>
      <c r="B626" s="68"/>
    </row>
    <row r="627">
      <c r="A627" s="67"/>
      <c r="B627" s="68"/>
    </row>
    <row r="628">
      <c r="A628" s="67"/>
      <c r="B628" s="68"/>
    </row>
    <row r="629">
      <c r="A629" s="67"/>
      <c r="B629" s="68"/>
    </row>
    <row r="630">
      <c r="A630" s="67"/>
      <c r="B630" s="68"/>
    </row>
    <row r="631">
      <c r="A631" s="67"/>
      <c r="B631" s="68"/>
    </row>
    <row r="632">
      <c r="A632" s="67"/>
      <c r="B632" s="68"/>
    </row>
    <row r="633">
      <c r="A633" s="67"/>
      <c r="B633" s="68"/>
    </row>
    <row r="634">
      <c r="A634" s="67"/>
      <c r="B634" s="68"/>
    </row>
    <row r="635">
      <c r="A635" s="67"/>
      <c r="B635" s="68"/>
    </row>
    <row r="636">
      <c r="A636" s="67"/>
      <c r="B636" s="68"/>
    </row>
    <row r="637">
      <c r="A637" s="67"/>
      <c r="B637" s="68"/>
    </row>
    <row r="638">
      <c r="A638" s="67"/>
      <c r="B638" s="68"/>
    </row>
    <row r="639">
      <c r="A639" s="67"/>
      <c r="B639" s="68"/>
    </row>
    <row r="640">
      <c r="A640" s="67"/>
      <c r="B640" s="68"/>
    </row>
    <row r="641">
      <c r="A641" s="67"/>
      <c r="B641" s="68"/>
    </row>
    <row r="642">
      <c r="A642" s="67"/>
      <c r="B642" s="68"/>
    </row>
    <row r="643">
      <c r="A643" s="67"/>
      <c r="B643" s="68"/>
    </row>
    <row r="644">
      <c r="A644" s="67"/>
      <c r="B644" s="68"/>
    </row>
    <row r="645">
      <c r="A645" s="67"/>
      <c r="B645" s="68"/>
    </row>
    <row r="646">
      <c r="A646" s="67"/>
      <c r="B646" s="68"/>
    </row>
    <row r="647">
      <c r="A647" s="67"/>
      <c r="B647" s="68"/>
    </row>
    <row r="648">
      <c r="A648" s="67"/>
      <c r="B648" s="68"/>
    </row>
    <row r="649">
      <c r="A649" s="67"/>
      <c r="B649" s="68"/>
    </row>
    <row r="650">
      <c r="A650" s="67"/>
      <c r="B650" s="68"/>
    </row>
    <row r="651">
      <c r="A651" s="67"/>
      <c r="B651" s="68"/>
    </row>
    <row r="652">
      <c r="A652" s="67"/>
      <c r="B652" s="68"/>
    </row>
    <row r="653">
      <c r="A653" s="67"/>
      <c r="B653" s="68"/>
    </row>
    <row r="654">
      <c r="A654" s="67"/>
      <c r="B654" s="68"/>
    </row>
    <row r="655">
      <c r="A655" s="67"/>
      <c r="B655" s="68"/>
    </row>
    <row r="656">
      <c r="A656" s="67"/>
      <c r="B656" s="68"/>
    </row>
    <row r="657">
      <c r="A657" s="67"/>
      <c r="B657" s="68"/>
    </row>
    <row r="658">
      <c r="A658" s="67"/>
      <c r="B658" s="68"/>
    </row>
    <row r="659">
      <c r="A659" s="67"/>
      <c r="B659" s="68"/>
    </row>
    <row r="660">
      <c r="A660" s="67"/>
      <c r="B660" s="68"/>
    </row>
    <row r="661">
      <c r="A661" s="67"/>
      <c r="B661" s="68"/>
    </row>
    <row r="662">
      <c r="A662" s="67"/>
      <c r="B662" s="68"/>
    </row>
    <row r="663">
      <c r="A663" s="67"/>
      <c r="B663" s="68"/>
    </row>
    <row r="664">
      <c r="A664" s="67"/>
      <c r="B664" s="68"/>
    </row>
    <row r="665">
      <c r="A665" s="67"/>
      <c r="B665" s="68"/>
    </row>
    <row r="666">
      <c r="A666" s="67"/>
      <c r="B666" s="68"/>
    </row>
    <row r="667">
      <c r="A667" s="67"/>
      <c r="B667" s="68"/>
    </row>
    <row r="668">
      <c r="A668" s="67"/>
      <c r="B668" s="68"/>
    </row>
    <row r="669">
      <c r="A669" s="67"/>
      <c r="B669" s="68"/>
    </row>
    <row r="670">
      <c r="A670" s="67"/>
      <c r="B670" s="68"/>
    </row>
    <row r="671">
      <c r="A671" s="67"/>
      <c r="B671" s="68"/>
    </row>
    <row r="672">
      <c r="A672" s="67"/>
      <c r="B672" s="68"/>
    </row>
    <row r="673">
      <c r="A673" s="67"/>
      <c r="B673" s="68"/>
    </row>
    <row r="674">
      <c r="A674" s="67"/>
      <c r="B674" s="68"/>
    </row>
    <row r="675">
      <c r="A675" s="67"/>
      <c r="B675" s="68"/>
    </row>
    <row r="676">
      <c r="A676" s="67"/>
      <c r="B676" s="68"/>
    </row>
    <row r="677">
      <c r="A677" s="67"/>
      <c r="B677" s="68"/>
    </row>
    <row r="678">
      <c r="A678" s="67"/>
      <c r="B678" s="68"/>
    </row>
    <row r="679">
      <c r="A679" s="67"/>
      <c r="B679" s="68"/>
    </row>
    <row r="680">
      <c r="A680" s="67"/>
      <c r="B680" s="68"/>
    </row>
    <row r="681">
      <c r="A681" s="67"/>
      <c r="B681" s="68"/>
    </row>
    <row r="682">
      <c r="A682" s="67"/>
      <c r="B682" s="68"/>
    </row>
    <row r="683">
      <c r="A683" s="67"/>
      <c r="B683" s="68"/>
    </row>
    <row r="684">
      <c r="A684" s="67"/>
      <c r="B684" s="68"/>
    </row>
    <row r="685">
      <c r="A685" s="67"/>
      <c r="B685" s="68"/>
    </row>
    <row r="686">
      <c r="A686" s="67"/>
      <c r="B686" s="68"/>
    </row>
    <row r="687">
      <c r="A687" s="67"/>
      <c r="B687" s="68"/>
    </row>
    <row r="688">
      <c r="A688" s="67"/>
      <c r="B688" s="68"/>
    </row>
    <row r="689">
      <c r="A689" s="67"/>
      <c r="B689" s="68"/>
    </row>
    <row r="690">
      <c r="A690" s="67"/>
      <c r="B690" s="68"/>
    </row>
    <row r="691">
      <c r="A691" s="67"/>
      <c r="B691" s="68"/>
    </row>
    <row r="692">
      <c r="A692" s="67"/>
      <c r="B692" s="68"/>
    </row>
    <row r="693">
      <c r="A693" s="67"/>
      <c r="B693" s="68"/>
    </row>
    <row r="694">
      <c r="A694" s="67"/>
      <c r="B694" s="68"/>
    </row>
    <row r="695">
      <c r="A695" s="67"/>
      <c r="B695" s="68"/>
    </row>
    <row r="696">
      <c r="A696" s="67"/>
      <c r="B696" s="68"/>
    </row>
    <row r="697">
      <c r="A697" s="67"/>
      <c r="B697" s="68"/>
    </row>
    <row r="698">
      <c r="A698" s="67"/>
      <c r="B698" s="68"/>
    </row>
    <row r="699">
      <c r="A699" s="67"/>
      <c r="B699" s="68"/>
    </row>
    <row r="700">
      <c r="A700" s="67"/>
      <c r="B700" s="68"/>
    </row>
    <row r="701">
      <c r="A701" s="67"/>
      <c r="B701" s="68"/>
    </row>
    <row r="702">
      <c r="A702" s="67"/>
      <c r="B702" s="68"/>
    </row>
    <row r="703">
      <c r="A703" s="67"/>
      <c r="B703" s="68"/>
    </row>
    <row r="704">
      <c r="A704" s="67"/>
      <c r="B704" s="68"/>
    </row>
    <row r="705">
      <c r="A705" s="67"/>
      <c r="B705" s="68"/>
    </row>
    <row r="706">
      <c r="A706" s="67"/>
      <c r="B706" s="68"/>
    </row>
    <row r="707">
      <c r="A707" s="67"/>
      <c r="B707" s="68"/>
    </row>
    <row r="708">
      <c r="A708" s="67"/>
      <c r="B708" s="68"/>
    </row>
    <row r="709">
      <c r="A709" s="67"/>
      <c r="B709" s="68"/>
    </row>
    <row r="710">
      <c r="A710" s="67"/>
      <c r="B710" s="68"/>
    </row>
    <row r="711">
      <c r="A711" s="67"/>
      <c r="B711" s="68"/>
    </row>
    <row r="712">
      <c r="A712" s="67"/>
      <c r="B712" s="68"/>
    </row>
    <row r="713">
      <c r="A713" s="67"/>
      <c r="B713" s="68"/>
    </row>
    <row r="714">
      <c r="A714" s="67"/>
      <c r="B714" s="68"/>
    </row>
    <row r="715">
      <c r="A715" s="67"/>
      <c r="B715" s="68"/>
    </row>
    <row r="716">
      <c r="A716" s="67"/>
      <c r="B716" s="68"/>
    </row>
    <row r="717">
      <c r="A717" s="67"/>
      <c r="B717" s="68"/>
    </row>
    <row r="718">
      <c r="A718" s="67"/>
      <c r="B718" s="68"/>
    </row>
    <row r="719">
      <c r="A719" s="67"/>
      <c r="B719" s="68"/>
    </row>
    <row r="720">
      <c r="A720" s="67"/>
      <c r="B720" s="68"/>
    </row>
    <row r="721">
      <c r="A721" s="67"/>
      <c r="B721" s="68"/>
    </row>
    <row r="722">
      <c r="A722" s="67"/>
      <c r="B722" s="68"/>
    </row>
    <row r="723">
      <c r="A723" s="67"/>
      <c r="B723" s="68"/>
    </row>
    <row r="724">
      <c r="A724" s="67"/>
      <c r="B724" s="68"/>
    </row>
    <row r="725">
      <c r="A725" s="67"/>
      <c r="B725" s="68"/>
    </row>
    <row r="726">
      <c r="A726" s="67"/>
      <c r="B726" s="68"/>
    </row>
    <row r="727">
      <c r="A727" s="67"/>
      <c r="B727" s="68"/>
    </row>
    <row r="728">
      <c r="A728" s="67"/>
      <c r="B728" s="68"/>
    </row>
    <row r="729">
      <c r="A729" s="67"/>
      <c r="B729" s="68"/>
    </row>
    <row r="730">
      <c r="A730" s="67"/>
      <c r="B730" s="68"/>
    </row>
    <row r="731">
      <c r="A731" s="67"/>
      <c r="B731" s="68"/>
    </row>
    <row r="732">
      <c r="A732" s="67"/>
      <c r="B732" s="68"/>
    </row>
    <row r="733">
      <c r="A733" s="67"/>
      <c r="B733" s="68"/>
    </row>
    <row r="734">
      <c r="A734" s="67"/>
      <c r="B734" s="68"/>
    </row>
    <row r="735">
      <c r="A735" s="67"/>
      <c r="B735" s="68"/>
    </row>
    <row r="736">
      <c r="A736" s="67"/>
      <c r="B736" s="68"/>
    </row>
    <row r="737">
      <c r="A737" s="67"/>
      <c r="B737" s="68"/>
    </row>
    <row r="738">
      <c r="A738" s="67"/>
      <c r="B738" s="68"/>
    </row>
    <row r="739">
      <c r="A739" s="67"/>
      <c r="B739" s="68"/>
    </row>
    <row r="740">
      <c r="A740" s="67"/>
      <c r="B740" s="68"/>
    </row>
    <row r="741">
      <c r="A741" s="67"/>
      <c r="B741" s="68"/>
    </row>
    <row r="742">
      <c r="A742" s="67"/>
      <c r="B742" s="68"/>
    </row>
    <row r="743">
      <c r="A743" s="67"/>
      <c r="B743" s="68"/>
    </row>
    <row r="744">
      <c r="A744" s="67"/>
      <c r="B744" s="68"/>
    </row>
    <row r="745">
      <c r="A745" s="67"/>
      <c r="B745" s="68"/>
    </row>
    <row r="746">
      <c r="A746" s="67"/>
      <c r="B746" s="68"/>
    </row>
    <row r="747">
      <c r="A747" s="67"/>
      <c r="B747" s="68"/>
    </row>
    <row r="748">
      <c r="A748" s="67"/>
      <c r="B748" s="68"/>
    </row>
    <row r="749">
      <c r="A749" s="67"/>
      <c r="B749" s="68"/>
    </row>
    <row r="750">
      <c r="A750" s="67"/>
      <c r="B750" s="68"/>
    </row>
    <row r="751">
      <c r="A751" s="67"/>
      <c r="B751" s="68"/>
    </row>
    <row r="752">
      <c r="A752" s="67"/>
      <c r="B752" s="68"/>
    </row>
    <row r="753">
      <c r="A753" s="67"/>
      <c r="B753" s="68"/>
    </row>
    <row r="754">
      <c r="A754" s="67"/>
      <c r="B754" s="68"/>
    </row>
    <row r="755">
      <c r="A755" s="67"/>
      <c r="B755" s="68"/>
    </row>
    <row r="756">
      <c r="A756" s="67"/>
      <c r="B756" s="68"/>
    </row>
    <row r="757">
      <c r="A757" s="67"/>
      <c r="B757" s="68"/>
    </row>
    <row r="758">
      <c r="A758" s="67"/>
      <c r="B758" s="68"/>
    </row>
    <row r="759">
      <c r="A759" s="67"/>
      <c r="B759" s="68"/>
    </row>
    <row r="760">
      <c r="A760" s="67"/>
      <c r="B760" s="68"/>
    </row>
    <row r="761">
      <c r="A761" s="67"/>
      <c r="B761" s="68"/>
    </row>
    <row r="762">
      <c r="A762" s="67"/>
      <c r="B762" s="68"/>
    </row>
    <row r="763">
      <c r="A763" s="67"/>
      <c r="B763" s="68"/>
    </row>
    <row r="764">
      <c r="A764" s="67"/>
      <c r="B764" s="68"/>
    </row>
    <row r="765">
      <c r="A765" s="67"/>
      <c r="B765" s="68"/>
    </row>
    <row r="766">
      <c r="A766" s="67"/>
      <c r="B766" s="68"/>
    </row>
    <row r="767">
      <c r="A767" s="67"/>
      <c r="B767" s="68"/>
    </row>
    <row r="768">
      <c r="A768" s="67"/>
      <c r="B768" s="68"/>
    </row>
    <row r="769">
      <c r="A769" s="67"/>
      <c r="B769" s="68"/>
    </row>
    <row r="770">
      <c r="A770" s="67"/>
      <c r="B770" s="68"/>
    </row>
    <row r="771">
      <c r="A771" s="67"/>
      <c r="B771" s="68"/>
    </row>
    <row r="772">
      <c r="A772" s="67"/>
      <c r="B772" s="68"/>
    </row>
    <row r="773">
      <c r="A773" s="67"/>
      <c r="B773" s="68"/>
    </row>
    <row r="774">
      <c r="A774" s="67"/>
      <c r="B774" s="68"/>
    </row>
    <row r="775">
      <c r="A775" s="67"/>
      <c r="B775" s="68"/>
    </row>
    <row r="776">
      <c r="A776" s="67"/>
      <c r="B776" s="68"/>
    </row>
    <row r="777">
      <c r="A777" s="67"/>
      <c r="B777" s="68"/>
    </row>
    <row r="778">
      <c r="A778" s="67"/>
      <c r="B778" s="68"/>
    </row>
    <row r="779">
      <c r="A779" s="67"/>
      <c r="B779" s="68"/>
    </row>
    <row r="780">
      <c r="A780" s="67"/>
      <c r="B780" s="68"/>
    </row>
    <row r="781">
      <c r="A781" s="67"/>
      <c r="B781" s="68"/>
    </row>
    <row r="782">
      <c r="A782" s="67"/>
      <c r="B782" s="68"/>
    </row>
    <row r="783">
      <c r="A783" s="67"/>
      <c r="B783" s="68"/>
    </row>
    <row r="784">
      <c r="A784" s="67"/>
      <c r="B784" s="68"/>
    </row>
    <row r="785">
      <c r="A785" s="67"/>
      <c r="B785" s="68"/>
    </row>
    <row r="786">
      <c r="A786" s="67"/>
      <c r="B786" s="68"/>
    </row>
    <row r="787">
      <c r="A787" s="67"/>
      <c r="B787" s="68"/>
    </row>
    <row r="788">
      <c r="A788" s="67"/>
      <c r="B788" s="68"/>
    </row>
    <row r="789">
      <c r="A789" s="67"/>
      <c r="B789" s="68"/>
    </row>
    <row r="790">
      <c r="A790" s="67"/>
      <c r="B790" s="68"/>
    </row>
    <row r="791">
      <c r="A791" s="67"/>
      <c r="B791" s="68"/>
    </row>
    <row r="792">
      <c r="A792" s="67"/>
      <c r="B792" s="68"/>
    </row>
    <row r="793">
      <c r="A793" s="67"/>
      <c r="B793" s="68"/>
    </row>
    <row r="794">
      <c r="A794" s="67"/>
      <c r="B794" s="68"/>
    </row>
    <row r="795">
      <c r="A795" s="67"/>
      <c r="B795" s="68"/>
    </row>
    <row r="796">
      <c r="A796" s="67"/>
      <c r="B796" s="68"/>
    </row>
    <row r="797">
      <c r="A797" s="67"/>
      <c r="B797" s="68"/>
    </row>
    <row r="798">
      <c r="A798" s="67"/>
      <c r="B798" s="68"/>
    </row>
    <row r="799">
      <c r="A799" s="67"/>
      <c r="B799" s="68"/>
    </row>
    <row r="800">
      <c r="A800" s="67"/>
      <c r="B800" s="68"/>
    </row>
    <row r="801">
      <c r="A801" s="67"/>
      <c r="B801" s="68"/>
    </row>
    <row r="802">
      <c r="A802" s="67"/>
      <c r="B802" s="68"/>
    </row>
    <row r="803">
      <c r="A803" s="67"/>
      <c r="B803" s="68"/>
    </row>
    <row r="804">
      <c r="A804" s="67"/>
      <c r="B804" s="68"/>
    </row>
    <row r="805">
      <c r="A805" s="67"/>
      <c r="B805" s="68"/>
    </row>
    <row r="806">
      <c r="A806" s="67"/>
      <c r="B806" s="68"/>
    </row>
    <row r="807">
      <c r="A807" s="67"/>
      <c r="B807" s="68"/>
    </row>
    <row r="808">
      <c r="A808" s="67"/>
      <c r="B808" s="68"/>
    </row>
    <row r="809">
      <c r="A809" s="67"/>
      <c r="B809" s="68"/>
    </row>
    <row r="810">
      <c r="A810" s="67"/>
      <c r="B810" s="68"/>
    </row>
    <row r="811">
      <c r="A811" s="67"/>
      <c r="B811" s="68"/>
    </row>
    <row r="812">
      <c r="A812" s="67"/>
      <c r="B812" s="68"/>
    </row>
    <row r="813">
      <c r="A813" s="67"/>
      <c r="B813" s="68"/>
    </row>
    <row r="814">
      <c r="A814" s="67"/>
      <c r="B814" s="68"/>
    </row>
    <row r="815">
      <c r="A815" s="67"/>
      <c r="B815" s="68"/>
    </row>
    <row r="816">
      <c r="A816" s="67"/>
      <c r="B816" s="68"/>
    </row>
    <row r="817">
      <c r="A817" s="67"/>
      <c r="B817" s="68"/>
    </row>
    <row r="818">
      <c r="A818" s="67"/>
      <c r="B818" s="68"/>
    </row>
    <row r="819">
      <c r="A819" s="67"/>
      <c r="B819" s="68"/>
    </row>
    <row r="820">
      <c r="A820" s="67"/>
      <c r="B820" s="68"/>
    </row>
    <row r="821">
      <c r="A821" s="67"/>
      <c r="B821" s="68"/>
    </row>
    <row r="822">
      <c r="A822" s="67"/>
      <c r="B822" s="68"/>
    </row>
    <row r="823">
      <c r="A823" s="67"/>
      <c r="B823" s="68"/>
    </row>
    <row r="824">
      <c r="A824" s="67"/>
      <c r="B824" s="68"/>
    </row>
    <row r="825">
      <c r="A825" s="67"/>
      <c r="B825" s="68"/>
    </row>
    <row r="826">
      <c r="A826" s="67"/>
      <c r="B826" s="68"/>
    </row>
    <row r="827">
      <c r="A827" s="67"/>
      <c r="B827" s="68"/>
    </row>
    <row r="828">
      <c r="A828" s="67"/>
      <c r="B828" s="68"/>
    </row>
    <row r="829">
      <c r="A829" s="67"/>
      <c r="B829" s="68"/>
    </row>
    <row r="830">
      <c r="A830" s="67"/>
      <c r="B830" s="68"/>
    </row>
    <row r="831">
      <c r="A831" s="67"/>
      <c r="B831" s="68"/>
    </row>
    <row r="832">
      <c r="A832" s="67"/>
      <c r="B832" s="68"/>
    </row>
    <row r="833">
      <c r="A833" s="67"/>
      <c r="B833" s="68"/>
    </row>
    <row r="834">
      <c r="A834" s="67"/>
      <c r="B834" s="68"/>
    </row>
    <row r="835">
      <c r="A835" s="67"/>
      <c r="B835" s="68"/>
    </row>
    <row r="836">
      <c r="A836" s="67"/>
      <c r="B836" s="68"/>
    </row>
    <row r="837">
      <c r="A837" s="67"/>
      <c r="B837" s="68"/>
    </row>
    <row r="838">
      <c r="A838" s="67"/>
      <c r="B838" s="68"/>
    </row>
    <row r="839">
      <c r="A839" s="67"/>
      <c r="B839" s="68"/>
    </row>
    <row r="840">
      <c r="A840" s="67"/>
      <c r="B840" s="68"/>
    </row>
    <row r="841">
      <c r="A841" s="67"/>
      <c r="B841" s="68"/>
    </row>
    <row r="842">
      <c r="A842" s="67"/>
      <c r="B842" s="68"/>
    </row>
    <row r="843">
      <c r="A843" s="67"/>
      <c r="B843" s="68"/>
    </row>
    <row r="844">
      <c r="A844" s="67"/>
      <c r="B844" s="68"/>
    </row>
    <row r="845">
      <c r="A845" s="67"/>
      <c r="B845" s="68"/>
    </row>
    <row r="846">
      <c r="A846" s="67"/>
      <c r="B846" s="68"/>
    </row>
    <row r="847">
      <c r="A847" s="67"/>
      <c r="B847" s="68"/>
    </row>
    <row r="848">
      <c r="A848" s="67"/>
      <c r="B848" s="68"/>
    </row>
    <row r="849">
      <c r="A849" s="67"/>
      <c r="B849" s="68"/>
    </row>
    <row r="850">
      <c r="A850" s="67"/>
      <c r="B850" s="68"/>
    </row>
    <row r="851">
      <c r="A851" s="67"/>
      <c r="B851" s="68"/>
    </row>
    <row r="852">
      <c r="A852" s="67"/>
      <c r="B852" s="68"/>
    </row>
    <row r="853">
      <c r="A853" s="67"/>
      <c r="B853" s="68"/>
    </row>
    <row r="854">
      <c r="A854" s="67"/>
      <c r="B854" s="68"/>
    </row>
    <row r="855">
      <c r="A855" s="67"/>
      <c r="B855" s="68"/>
    </row>
    <row r="856">
      <c r="A856" s="67"/>
      <c r="B856" s="68"/>
    </row>
    <row r="857">
      <c r="A857" s="67"/>
      <c r="B857" s="68"/>
    </row>
    <row r="858">
      <c r="A858" s="67"/>
      <c r="B858" s="68"/>
    </row>
    <row r="859">
      <c r="A859" s="67"/>
      <c r="B859" s="68"/>
    </row>
    <row r="860">
      <c r="A860" s="67"/>
      <c r="B860" s="68"/>
    </row>
    <row r="861">
      <c r="A861" s="67"/>
      <c r="B861" s="68"/>
    </row>
    <row r="862">
      <c r="A862" s="67"/>
      <c r="B862" s="68"/>
    </row>
    <row r="863">
      <c r="A863" s="67"/>
      <c r="B863" s="68"/>
    </row>
    <row r="864">
      <c r="A864" s="67"/>
      <c r="B864" s="68"/>
    </row>
    <row r="865">
      <c r="A865" s="67"/>
      <c r="B865" s="68"/>
    </row>
    <row r="866">
      <c r="A866" s="67"/>
      <c r="B866" s="68"/>
    </row>
    <row r="867">
      <c r="A867" s="67"/>
      <c r="B867" s="68"/>
    </row>
    <row r="868">
      <c r="A868" s="67"/>
      <c r="B868" s="68"/>
    </row>
    <row r="869">
      <c r="A869" s="67"/>
      <c r="B869" s="68"/>
    </row>
    <row r="870">
      <c r="A870" s="67"/>
      <c r="B870" s="68"/>
    </row>
    <row r="871">
      <c r="A871" s="67"/>
      <c r="B871" s="68"/>
    </row>
    <row r="872">
      <c r="A872" s="67"/>
      <c r="B872" s="68"/>
    </row>
    <row r="873">
      <c r="A873" s="67"/>
      <c r="B873" s="68"/>
    </row>
    <row r="874">
      <c r="A874" s="67"/>
      <c r="B874" s="68"/>
    </row>
    <row r="875">
      <c r="A875" s="67"/>
      <c r="B875" s="68"/>
    </row>
    <row r="876">
      <c r="A876" s="67"/>
      <c r="B876" s="68"/>
    </row>
    <row r="877">
      <c r="A877" s="67"/>
      <c r="B877" s="68"/>
    </row>
    <row r="878">
      <c r="A878" s="67"/>
      <c r="B878" s="68"/>
    </row>
    <row r="879">
      <c r="A879" s="67"/>
      <c r="B879" s="68"/>
    </row>
    <row r="880">
      <c r="A880" s="67"/>
      <c r="B880" s="68"/>
    </row>
    <row r="881">
      <c r="A881" s="67"/>
      <c r="B881" s="68"/>
    </row>
    <row r="882">
      <c r="A882" s="67"/>
      <c r="B882" s="68"/>
    </row>
    <row r="883">
      <c r="A883" s="67"/>
      <c r="B883" s="68"/>
    </row>
    <row r="884">
      <c r="A884" s="67"/>
      <c r="B884" s="68"/>
    </row>
    <row r="885">
      <c r="A885" s="67"/>
      <c r="B885" s="68"/>
    </row>
    <row r="886">
      <c r="A886" s="67"/>
      <c r="B886" s="68"/>
    </row>
    <row r="887">
      <c r="A887" s="67"/>
      <c r="B887" s="68"/>
    </row>
    <row r="888">
      <c r="A888" s="67"/>
      <c r="B888" s="68"/>
    </row>
    <row r="889">
      <c r="A889" s="67"/>
      <c r="B889" s="68"/>
    </row>
    <row r="890">
      <c r="A890" s="67"/>
      <c r="B890" s="68"/>
    </row>
    <row r="891">
      <c r="A891" s="67"/>
      <c r="B891" s="68"/>
    </row>
    <row r="892">
      <c r="A892" s="67"/>
      <c r="B892" s="68"/>
    </row>
    <row r="893">
      <c r="A893" s="67"/>
      <c r="B893" s="68"/>
    </row>
    <row r="894">
      <c r="A894" s="67"/>
      <c r="B894" s="68"/>
    </row>
    <row r="895">
      <c r="A895" s="67"/>
      <c r="B895" s="68"/>
    </row>
    <row r="896">
      <c r="A896" s="67"/>
      <c r="B896" s="68"/>
    </row>
    <row r="897">
      <c r="A897" s="67"/>
      <c r="B897" s="68"/>
    </row>
    <row r="898">
      <c r="A898" s="67"/>
      <c r="B898" s="68"/>
    </row>
    <row r="899">
      <c r="A899" s="67"/>
      <c r="B899" s="68"/>
    </row>
    <row r="900">
      <c r="A900" s="67"/>
      <c r="B900" s="68"/>
    </row>
    <row r="901">
      <c r="A901" s="67"/>
      <c r="B901" s="68"/>
    </row>
    <row r="902">
      <c r="A902" s="67"/>
      <c r="B902" s="68"/>
    </row>
    <row r="903">
      <c r="A903" s="67"/>
      <c r="B903" s="68"/>
    </row>
    <row r="904">
      <c r="A904" s="67"/>
      <c r="B904" s="68"/>
    </row>
    <row r="905">
      <c r="A905" s="67"/>
      <c r="B905" s="68"/>
    </row>
    <row r="906">
      <c r="A906" s="67"/>
      <c r="B906" s="68"/>
    </row>
    <row r="907">
      <c r="A907" s="67"/>
      <c r="B907" s="68"/>
    </row>
    <row r="908">
      <c r="A908" s="67"/>
      <c r="B908" s="68"/>
    </row>
    <row r="909">
      <c r="A909" s="67"/>
      <c r="B909" s="68"/>
    </row>
    <row r="910">
      <c r="A910" s="67"/>
      <c r="B910" s="68"/>
    </row>
    <row r="911">
      <c r="A911" s="67"/>
      <c r="B911" s="68"/>
    </row>
    <row r="912">
      <c r="A912" s="67"/>
      <c r="B912" s="68"/>
    </row>
    <row r="913">
      <c r="A913" s="67"/>
      <c r="B913" s="68"/>
    </row>
    <row r="914">
      <c r="A914" s="67"/>
      <c r="B914" s="68"/>
    </row>
    <row r="915">
      <c r="A915" s="67"/>
      <c r="B915" s="68"/>
    </row>
    <row r="916">
      <c r="A916" s="67"/>
      <c r="B916" s="68"/>
    </row>
    <row r="917">
      <c r="A917" s="67"/>
      <c r="B917" s="68"/>
    </row>
    <row r="918">
      <c r="A918" s="67"/>
      <c r="B918" s="68"/>
    </row>
    <row r="919">
      <c r="A919" s="67"/>
      <c r="B919" s="68"/>
    </row>
    <row r="920">
      <c r="A920" s="67"/>
      <c r="B920" s="68"/>
    </row>
    <row r="921">
      <c r="A921" s="67"/>
      <c r="B921" s="68"/>
    </row>
    <row r="922">
      <c r="A922" s="67"/>
      <c r="B922" s="68"/>
    </row>
    <row r="923">
      <c r="A923" s="67"/>
      <c r="B923" s="68"/>
    </row>
    <row r="924">
      <c r="A924" s="67"/>
      <c r="B924" s="68"/>
    </row>
    <row r="925">
      <c r="A925" s="67"/>
      <c r="B925" s="68"/>
    </row>
    <row r="926">
      <c r="A926" s="67"/>
      <c r="B926" s="68"/>
    </row>
    <row r="927">
      <c r="A927" s="67"/>
      <c r="B927" s="68"/>
    </row>
    <row r="928">
      <c r="A928" s="67"/>
      <c r="B928" s="68"/>
    </row>
    <row r="929">
      <c r="A929" s="67"/>
      <c r="B929" s="68"/>
    </row>
    <row r="930">
      <c r="A930" s="67"/>
      <c r="B930" s="68"/>
    </row>
    <row r="931">
      <c r="A931" s="67"/>
      <c r="B931" s="68"/>
    </row>
    <row r="932">
      <c r="A932" s="67"/>
      <c r="B932" s="68"/>
    </row>
    <row r="933">
      <c r="A933" s="67"/>
      <c r="B933" s="68"/>
    </row>
    <row r="934">
      <c r="A934" s="67"/>
      <c r="B934" s="68"/>
    </row>
    <row r="935">
      <c r="A935" s="67"/>
      <c r="B935" s="68"/>
    </row>
    <row r="936">
      <c r="A936" s="67"/>
      <c r="B936" s="68"/>
    </row>
    <row r="937">
      <c r="A937" s="67"/>
      <c r="B937" s="68"/>
    </row>
    <row r="938">
      <c r="A938" s="67"/>
      <c r="B938" s="68"/>
    </row>
    <row r="939">
      <c r="A939" s="67"/>
      <c r="B939" s="68"/>
    </row>
    <row r="940">
      <c r="A940" s="67"/>
      <c r="B940" s="68"/>
    </row>
    <row r="941">
      <c r="A941" s="67"/>
      <c r="B941" s="68"/>
    </row>
    <row r="942">
      <c r="A942" s="67"/>
      <c r="B942" s="68"/>
    </row>
    <row r="943">
      <c r="A943" s="67"/>
      <c r="B943" s="68"/>
    </row>
    <row r="944">
      <c r="A944" s="67"/>
      <c r="B944" s="68"/>
    </row>
    <row r="945">
      <c r="A945" s="67"/>
      <c r="B945" s="68"/>
    </row>
    <row r="946">
      <c r="A946" s="67"/>
      <c r="B946" s="68"/>
    </row>
    <row r="947">
      <c r="A947" s="67"/>
      <c r="B947" s="68"/>
    </row>
    <row r="948">
      <c r="A948" s="67"/>
      <c r="B948" s="68"/>
    </row>
    <row r="949">
      <c r="A949" s="67"/>
      <c r="B949" s="68"/>
    </row>
    <row r="950">
      <c r="A950" s="67"/>
      <c r="B950" s="68"/>
    </row>
    <row r="951">
      <c r="A951" s="67"/>
      <c r="B951" s="68"/>
    </row>
    <row r="952">
      <c r="A952" s="67"/>
      <c r="B952" s="68"/>
    </row>
    <row r="953">
      <c r="A953" s="67"/>
      <c r="B953" s="68"/>
    </row>
    <row r="954">
      <c r="A954" s="67"/>
      <c r="B954" s="68"/>
    </row>
    <row r="955">
      <c r="A955" s="67"/>
      <c r="B955" s="68"/>
    </row>
    <row r="956">
      <c r="A956" s="67"/>
      <c r="B956" s="68"/>
    </row>
    <row r="957">
      <c r="A957" s="67"/>
      <c r="B957" s="68"/>
    </row>
    <row r="958">
      <c r="A958" s="67"/>
      <c r="B958" s="68"/>
    </row>
    <row r="959">
      <c r="A959" s="67"/>
      <c r="B959" s="68"/>
    </row>
    <row r="960">
      <c r="A960" s="67"/>
      <c r="B960" s="68"/>
    </row>
    <row r="961">
      <c r="A961" s="67"/>
      <c r="B961" s="68"/>
    </row>
    <row r="962">
      <c r="A962" s="67"/>
      <c r="B962" s="68"/>
    </row>
    <row r="963">
      <c r="A963" s="67"/>
      <c r="B963" s="68"/>
    </row>
    <row r="964">
      <c r="A964" s="67"/>
      <c r="B964" s="68"/>
    </row>
    <row r="965">
      <c r="A965" s="67"/>
      <c r="B965" s="68"/>
    </row>
    <row r="966">
      <c r="A966" s="67"/>
      <c r="B966" s="68"/>
    </row>
    <row r="967">
      <c r="A967" s="67"/>
      <c r="B967" s="68"/>
    </row>
    <row r="968">
      <c r="A968" s="67"/>
      <c r="B968" s="68"/>
    </row>
    <row r="969">
      <c r="A969" s="67"/>
      <c r="B969" s="68"/>
    </row>
    <row r="970">
      <c r="A970" s="67"/>
      <c r="B970" s="68"/>
    </row>
    <row r="971">
      <c r="A971" s="67"/>
      <c r="B971" s="68"/>
    </row>
    <row r="972">
      <c r="A972" s="67"/>
      <c r="B972" s="68"/>
    </row>
    <row r="973">
      <c r="A973" s="67"/>
      <c r="B973" s="68"/>
    </row>
    <row r="974">
      <c r="A974" s="67"/>
      <c r="B974" s="68"/>
    </row>
    <row r="975">
      <c r="A975" s="67"/>
      <c r="B975" s="68"/>
    </row>
    <row r="976">
      <c r="A976" s="67"/>
      <c r="B976" s="68"/>
    </row>
    <row r="977">
      <c r="A977" s="67"/>
      <c r="B977" s="68"/>
    </row>
    <row r="978">
      <c r="A978" s="67"/>
      <c r="B978" s="68"/>
    </row>
    <row r="979">
      <c r="A979" s="67"/>
      <c r="B979" s="68"/>
    </row>
    <row r="980">
      <c r="A980" s="67"/>
      <c r="B980" s="68"/>
    </row>
    <row r="981">
      <c r="A981" s="67"/>
      <c r="B981" s="68"/>
    </row>
    <row r="982">
      <c r="A982" s="67"/>
      <c r="B982" s="68"/>
    </row>
    <row r="983">
      <c r="A983" s="67"/>
      <c r="B983" s="68"/>
    </row>
    <row r="984">
      <c r="A984" s="67"/>
      <c r="B984" s="68"/>
    </row>
    <row r="985">
      <c r="A985" s="67"/>
      <c r="B985" s="68"/>
    </row>
    <row r="986">
      <c r="A986" s="67"/>
      <c r="B986" s="68"/>
    </row>
    <row r="987">
      <c r="A987" s="67"/>
      <c r="B987" s="68"/>
    </row>
    <row r="988">
      <c r="A988" s="67"/>
      <c r="B988" s="68"/>
    </row>
    <row r="989">
      <c r="A989" s="67"/>
      <c r="B989" s="68"/>
    </row>
    <row r="990">
      <c r="A990" s="67"/>
      <c r="B990" s="68"/>
    </row>
    <row r="991">
      <c r="A991" s="67"/>
      <c r="B991" s="68"/>
    </row>
    <row r="992">
      <c r="A992" s="67"/>
      <c r="B992" s="68"/>
    </row>
    <row r="993">
      <c r="A993" s="67"/>
      <c r="B993" s="68"/>
    </row>
    <row r="994">
      <c r="A994" s="67"/>
      <c r="B994" s="68"/>
    </row>
    <row r="995">
      <c r="A995" s="67"/>
      <c r="B995" s="68"/>
    </row>
    <row r="996">
      <c r="A996" s="67"/>
      <c r="B996" s="68"/>
    </row>
    <row r="997">
      <c r="A997" s="67"/>
      <c r="B997" s="68"/>
    </row>
    <row r="998">
      <c r="A998" s="67"/>
      <c r="B998" s="68"/>
    </row>
    <row r="999">
      <c r="A999" s="67"/>
      <c r="B999" s="68"/>
    </row>
    <row r="1000">
      <c r="A1000" s="67"/>
      <c r="B1000" s="68"/>
    </row>
  </sheetData>
  <dataValidations>
    <dataValidation type="custom" allowBlank="1" showDropDown="1" sqref="A2:A100">
      <formula1>OR(NOT(ISERROR(DATEVALUE(A2))), AND(ISNUMBER(A2), LEFT(CELL("format", A2))="D"))</formula1>
    </dataValidation>
  </dataValidations>
  <drawing r:id="rId1"/>
  <tableParts count="1">
    <tablePart r:id="rId3"/>
  </tableParts>
</worksheet>
</file>